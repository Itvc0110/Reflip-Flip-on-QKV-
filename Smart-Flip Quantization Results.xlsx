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 bit" sheetId="1" r:id="rId5"/>
    <sheet state="visible" name="3bit" sheetId="2" r:id="rId6"/>
    <sheet state="hidden" name="Sheet13" sheetId="3" r:id="rId7"/>
    <sheet state="visible" name="abs" sheetId="4" r:id="rId8"/>
    <sheet state="visible" name="sensitive" sheetId="5" r:id="rId9"/>
    <sheet state="visible" name="gptq_bc_4b" sheetId="6" r:id="rId10"/>
    <sheet state="visible" name="RTN" sheetId="7" r:id="rId11"/>
    <sheet state="visible" name="RTN 3bit" sheetId="8" r:id="rId12"/>
    <sheet state="visible" name="tune_rtn" sheetId="9" r:id="rId13"/>
    <sheet state="visible" name="tune_llama3" sheetId="10" r:id="rId14"/>
    <sheet state="hidden" name="GPTQ" sheetId="11" r:id="rId15"/>
    <sheet state="visible" name="Copy of RTN" sheetId="12" r:id="rId16"/>
    <sheet state="visible" name="AdaRound" sheetId="13" r:id="rId17"/>
    <sheet state="visible" name="ada_3bit" sheetId="14" r:id="rId18"/>
    <sheet state="visible" name="Tune" sheetId="15" r:id="rId19"/>
    <sheet state="visible" name="RTN vs RTN+Flip 4 bit (per chan" sheetId="16" r:id="rId20"/>
    <sheet state="visible" name="Sheet11" sheetId="17" r:id="rId21"/>
    <sheet state="visible" name="RTN vs RTN+Flip 3 bit (per chan" sheetId="18" r:id="rId22"/>
    <sheet state="visible" name="Copy of Tune" sheetId="19" r:id="rId23"/>
  </sheets>
  <definedNames/>
  <calcPr/>
</workbook>
</file>

<file path=xl/sharedStrings.xml><?xml version="1.0" encoding="utf-8"?>
<sst xmlns="http://schemas.openxmlformats.org/spreadsheetml/2006/main" count="1150" uniqueCount="253">
  <si>
    <t>Model</t>
  </si>
  <si>
    <t>Quantize method</t>
  </si>
  <si>
    <t>Wiki</t>
  </si>
  <si>
    <t>C4</t>
  </si>
  <si>
    <t>arc-c</t>
  </si>
  <si>
    <t>arc-e</t>
  </si>
  <si>
    <t>boolq</t>
  </si>
  <si>
    <t>hellaswag</t>
  </si>
  <si>
    <t>lambada</t>
  </si>
  <si>
    <t>openbookqa</t>
  </si>
  <si>
    <t>piqa</t>
  </si>
  <si>
    <t>rte</t>
  </si>
  <si>
    <t>winogrande</t>
  </si>
  <si>
    <t>avg</t>
  </si>
  <si>
    <t>Origin (FP)</t>
  </si>
  <si>
    <t>Mistra-7B</t>
  </si>
  <si>
    <t xml:space="preserve">RTN  </t>
  </si>
  <si>
    <t>RTN+Flip (0.03, 0.05)</t>
  </si>
  <si>
    <t>+BC</t>
  </si>
  <si>
    <t>AWQ</t>
  </si>
  <si>
    <t>+EGBC (0.02 knee, 0.04 fl per</t>
  </si>
  <si>
    <t>No knee no f</t>
  </si>
  <si>
    <t>GPTQ</t>
  </si>
  <si>
    <t>+EGBC</t>
  </si>
  <si>
    <t>new</t>
  </si>
  <si>
    <t>FlatQuant</t>
  </si>
  <si>
    <t>+EGBC (0 knee, 0.05 fl per)</t>
  </si>
  <si>
    <t>Llama3.1-8B</t>
  </si>
  <si>
    <t>RTN+Flip (0.03, 0.03)</t>
  </si>
  <si>
    <t>+EGBC (0.02 knee, 0.01 fl per)</t>
  </si>
  <si>
    <t>Wikitext v2</t>
  </si>
  <si>
    <t>arc c</t>
  </si>
  <si>
    <t>arc e</t>
  </si>
  <si>
    <t>Qwen2.5-7B</t>
  </si>
  <si>
    <t>RTN+Flip (0.01, 0.05)</t>
  </si>
  <si>
    <t>RTN</t>
  </si>
  <si>
    <t>+EGBC (0.03 knee, 0.02 fl per)</t>
  </si>
  <si>
    <t>+EGBC (0.01 knee, 0.05 fl per)</t>
  </si>
  <si>
    <t>Llama3-8B</t>
  </si>
  <si>
    <t>RTN+Flip  (0, 0.05)</t>
  </si>
  <si>
    <t>Flatquant</t>
  </si>
  <si>
    <t>+EGBC (0.02 knee, 0.05 fl per)</t>
  </si>
  <si>
    <t>+CLC (Flip)</t>
  </si>
  <si>
    <t>+SNC</t>
  </si>
  <si>
    <t>0.714</t>
  </si>
  <si>
    <t>NoKnee</t>
  </si>
  <si>
    <t>0.719</t>
  </si>
  <si>
    <t>NoMaxFlip</t>
  </si>
  <si>
    <t>CLC</t>
  </si>
  <si>
    <t>0.720</t>
  </si>
  <si>
    <t>Mistral-7B</t>
  </si>
  <si>
    <t>RTN+Flip (0, 0.03)</t>
  </si>
  <si>
    <t>3 bit mistral</t>
  </si>
  <si>
    <t>RTN+Flip (0, 0.03) offset</t>
  </si>
  <si>
    <t>+EGBC (0.02 knee, 0.02 fl per</t>
  </si>
  <si>
    <t>RTN 3bits</t>
  </si>
  <si>
    <t>RTN+Flip (0.01, 0.02)</t>
  </si>
  <si>
    <t>RTN+Flip (0, 0.05)</t>
  </si>
  <si>
    <t>RTN+Flip  (0.01, 0.05)</t>
  </si>
  <si>
    <t>+EGBC (0.01 knee, 0.03 fl per)</t>
  </si>
  <si>
    <t xml:space="preserve">Meta-Llama-3.1 </t>
  </si>
  <si>
    <t>FP16</t>
  </si>
  <si>
    <t>Best</t>
  </si>
  <si>
    <t>FreeF</t>
  </si>
  <si>
    <t>Ref</t>
  </si>
  <si>
    <t>NoJS</t>
  </si>
  <si>
    <t>Ablation 3bit</t>
  </si>
  <si>
    <t>Llama 3.1</t>
  </si>
  <si>
    <t>rtn lm head</t>
  </si>
  <si>
    <t>best</t>
  </si>
  <si>
    <t>Mistral</t>
  </si>
  <si>
    <t>original</t>
  </si>
  <si>
    <t>p=0.01</t>
  </si>
  <si>
    <t>p=0.02</t>
  </si>
  <si>
    <t>p=0.03</t>
  </si>
  <si>
    <t>p=0.04</t>
  </si>
  <si>
    <t>p=0.05</t>
  </si>
  <si>
    <t>OKE</t>
  </si>
  <si>
    <t>Origin(FP)</t>
  </si>
  <si>
    <t>vast4</t>
  </si>
  <si>
    <t>ĐANG TUNE TIẾP</t>
  </si>
  <si>
    <t>vast</t>
  </si>
  <si>
    <t>A40</t>
  </si>
  <si>
    <t>ĐANG TUNE</t>
  </si>
  <si>
    <t>vast5</t>
  </si>
  <si>
    <t>cần rerun trên V100</t>
  </si>
  <si>
    <t>vast3</t>
  </si>
  <si>
    <t>vast2</t>
  </si>
  <si>
    <t>Llama3.1-8B · RTN vs RTN+Flip 4 bit (W4G128 tune)</t>
  </si>
  <si>
    <t>wins vs RTN</t>
  </si>
  <si>
    <t>Wiki gap %</t>
  </si>
  <si>
    <t>C4 gap %</t>
  </si>
  <si>
    <t>Avg PPL gap %</t>
  </si>
  <si>
    <t>source run</t>
  </si>
  <si>
    <t>Meta-Llama-3.1-8B</t>
  </si>
  <si>
    <t>Naive RTN (W4G128)</t>
  </si>
  <si>
    <t>Meta_Llama_3p1_8B_rtn_w4g128_lm_eval</t>
  </si>
  <si>
    <t>RTN+Flip (k0, f0.01, W4G128)</t>
  </si>
  <si>
    <t>Meta_Llama_3p1_8B_rtn_js_xl_w4g128_k0.0_f0.01_lm_eval</t>
  </si>
  <si>
    <t>RTN+Flip (k0, f0.02, W4G128)</t>
  </si>
  <si>
    <t>Meta_Llama_3p1_8B_rtn_js_xl_w4g128_k0.0_f0.02_lm_eval</t>
  </si>
  <si>
    <t>RTN+Flip (k0, f0.03, W4G128)</t>
  </si>
  <si>
    <t>Meta_Llama_3p1_8B_rtn_js_xl_w4g128_k0.0_f0.03_lm_eval</t>
  </si>
  <si>
    <t>RTN+Flip (k0, f0.04, W4G128)</t>
  </si>
  <si>
    <t>Meta_Llama_3p1_8B_rtn_js_xl_w4g128_k0.0_f0.04_lm_eval</t>
  </si>
  <si>
    <t>RTN+Flip (k0, f0.05, W4G128)</t>
  </si>
  <si>
    <t>Meta_Llama_3p1_8B_rtn_js_xl_w4g128_k0.0_f0.05_lm_eval</t>
  </si>
  <si>
    <t>RTN+Flip (k0.01, f0.01, W4G128)</t>
  </si>
  <si>
    <t>Meta_Llama_3p1_8B_rtn_js_xl_w4g128_k0.01_f0.01_lm_eval</t>
  </si>
  <si>
    <t>RTN+Flip (k0.01, f0.02, W4G128)</t>
  </si>
  <si>
    <t>Meta_Llama_3p1_8B_rtn_js_xl_w4g128_k0.01_f0.02_lm_eval</t>
  </si>
  <si>
    <t>RTN+Flip (k0.01, f0.03, W4G128)</t>
  </si>
  <si>
    <t>Meta_Llama_3p1_8B_rtn_js_xl_w4g128_k0.01_f0.03_lm_eval</t>
  </si>
  <si>
    <t>RTN+Flip (k0.01, f0.04, W4G128)</t>
  </si>
  <si>
    <t>Meta_Llama_3p1_8B_rtn_js_xl_w4g128_k0.01_f0.04_lm_eval</t>
  </si>
  <si>
    <t>RTN+Flip (k0.01, f0.05, W4G128)</t>
  </si>
  <si>
    <t>Meta_Llama_3p1_8B_rtn_js_xl_w4g128_k0.01_f0.05_lm_eval</t>
  </si>
  <si>
    <t>RTN+Flip (k0.02, f0.01, W4G128)</t>
  </si>
  <si>
    <t>Meta_Llama_3p1_8B_rtn_js_xl_w4g128_k0.02_f0.01_lm_eval</t>
  </si>
  <si>
    <t>RTN+Flip (k0.02, f0.02, W4G128)</t>
  </si>
  <si>
    <t>Meta_Llama_3p1_8B_rtn_js_xl_w4g128_k0.02_f0.02_lm_eval</t>
  </si>
  <si>
    <t>RTN+Flip (k0.02, f0.03, W4G128)</t>
  </si>
  <si>
    <t>Meta_Llama_3p1_8B_rtn_js_xl_w4g128_k0.02_f0.03_lm_eval</t>
  </si>
  <si>
    <t>RTN+Flip (k0.02, f0.04, W4G128)</t>
  </si>
  <si>
    <t>Meta_Llama_3p1_8B_rtn_js_xl_w4g128_k0.02_f0.04_lm_eval</t>
  </si>
  <si>
    <t>RTN+Flip (k0.02, f0.05, W4G128)</t>
  </si>
  <si>
    <t>Meta_Llama_3p1_8B_rtn_js_xl_w4g128_k0.02_f0.05_lm_eval</t>
  </si>
  <si>
    <t>RTN+Flip (k0.03, f0.01, W4G128)</t>
  </si>
  <si>
    <t>Meta_Llama_3p1_8B_rtn_js_xl_w4g128_k0.03_f0.01_lm_eval</t>
  </si>
  <si>
    <t>RTN+Flip (k0.03, f0.02, W4G128)</t>
  </si>
  <si>
    <t>Meta_Llama_3p1_8B_rtn_js_xl_w4g128_k0.03_f0.02_lm_eval</t>
  </si>
  <si>
    <t>RTN+Flip (k0.03, f0.03, W4G128)</t>
  </si>
  <si>
    <t>Meta_Llama_3p1_8B_rtn_js_xl_w4g128_k0.03_f0.03_lm_eval</t>
  </si>
  <si>
    <t>RTN+Flip (k0.03, f0.04, W4G128)</t>
  </si>
  <si>
    <t>Meta_Llama_3p1_8B_rtn_js_xl_w4g128_k0.03_f0.04_lm_eval</t>
  </si>
  <si>
    <t>RTN+Flip (k0.03, f0.05, W4G128)</t>
  </si>
  <si>
    <t>Meta_Llama_3p1_8B_rtn_js_xl_w4g128_k0.03_f0.05_lm_eval</t>
  </si>
  <si>
    <t>RTN+Flip (k0.04, f0.01, W4G128)</t>
  </si>
  <si>
    <t>Meta_Llama_3p1_8B_rtn_js_xl_w4g128_k0.04_f0.01_lm_eval</t>
  </si>
  <si>
    <t>RTN+Flip (k0.04, f0.02, W4G128)</t>
  </si>
  <si>
    <t>Meta_Llama_3p1_8B_rtn_js_xl_w4g128_k0.04_f0.02_lm_eval</t>
  </si>
  <si>
    <t>RTN+Flip (k0.04, f0.03, W4G128)</t>
  </si>
  <si>
    <t>Meta_Llama_3p1_8B_rtn_js_xl_w4g128_k0.04_f0.03_lm_eval</t>
  </si>
  <si>
    <t>RTN+Flip (k0.04, f0.04, W4G128)</t>
  </si>
  <si>
    <t>Meta_Llama_3p1_8B_rtn_js_xl_w4g128_k0.04_f0.04_lm_eval</t>
  </si>
  <si>
    <t>RTN+Flip (k0.04, f0.05, W4G128)</t>
  </si>
  <si>
    <t>Meta_Llama_3p1_8B_rtn_js_xl_w4g128_k0.04_f0.05_lm_eval</t>
  </si>
  <si>
    <t>RTN+Flip (k0.05, f0.01, W4G128)</t>
  </si>
  <si>
    <t>Meta_Llama_3p1_8B_rtn_js_xl_w4g128_k0.05_f0.01_lm_eval</t>
  </si>
  <si>
    <t>RTN+Flip (k0.05, f0.02, W4G128)</t>
  </si>
  <si>
    <t>Meta_Llama_3p1_8B_rtn_js_xl_w4g128_k0.05_f0.02_lm_eval</t>
  </si>
  <si>
    <t>RTN+Flip (k0.05, f0.03, W4G128)</t>
  </si>
  <si>
    <t>Meta_Llama_3p1_8B_rtn_js_xl_w4g128_k0.05_f0.03_lm_eval</t>
  </si>
  <si>
    <t>RTN+Flip (k0.05, f0.04, W4G128)</t>
  </si>
  <si>
    <t>Meta_Llama_3p1_8B_rtn_js_xl_w4g128_k0.05_f0.04_lm_eval</t>
  </si>
  <si>
    <t>RTN+Flip (k0.05, f0.05, W4G128)</t>
  </si>
  <si>
    <t>Meta_Llama_3p1_8B_rtn_js_xl_w4g128_k0.05_f0.05_lm_eval</t>
  </si>
  <si>
    <t>Selected best</t>
  </si>
  <si>
    <t>Llama3-8B FlatQuant + EGBC tune, 3-bit</t>
  </si>
  <si>
    <t>kind</t>
  </si>
  <si>
    <t>knee</t>
  </si>
  <si>
    <t>flip</t>
  </si>
  <si>
    <t>avg5</t>
  </si>
  <si>
    <t>delta Wiki vs raw</t>
  </si>
  <si>
    <t>delta avg5 vs raw</t>
  </si>
  <si>
    <t>better/equal tasks vs raw</t>
  </si>
  <si>
    <t>raw FlatQuant</t>
  </si>
  <si>
    <t>flatquant_raw_Meta-Llama-3-8B_b3_eval5</t>
  </si>
  <si>
    <t>EGBC tune</t>
  </si>
  <si>
    <t>llama3_fq_egbc_Meta-Llama-3-8B_b3_k0.0_f0.01</t>
  </si>
  <si>
    <t>llama3_fq_egbc_Meta-Llama-3-8B_b3_k0.0_f0.02</t>
  </si>
  <si>
    <t>llama3_fq_egbc_Meta-Llama-3-8B_b3_k0.0_f0.03</t>
  </si>
  <si>
    <t>llama3_fq_egbc_Meta-Llama-3-8B_b3_k0.0_f0.04</t>
  </si>
  <si>
    <t>llama3_fq_egbc_Meta-Llama-3-8B_b3_k0.0_f0.05</t>
  </si>
  <si>
    <t>llama3_fq_egbc_Meta-Llama-3-8B_b3_k0.01_f0.01</t>
  </si>
  <si>
    <t>llama3_fq_egbc_Meta-Llama-3-8B_b3_k0.01_f0.02</t>
  </si>
  <si>
    <t>llama3_fq_egbc_Meta-Llama-3-8B_b3_k0.01_f0.03</t>
  </si>
  <si>
    <t>llama3_fq_egbc_Meta-Llama-3-8B_b3_k0.01_f0.04</t>
  </si>
  <si>
    <t>llama3_fq_egbc_Meta-Llama-3-8B_b3_k0.01_f0.05</t>
  </si>
  <si>
    <t>llama3_fq_egbc_Meta-Llama-3-8B_b3_k0.02_f0.01</t>
  </si>
  <si>
    <t>Best full avg5</t>
  </si>
  <si>
    <t>GPTQ+BC</t>
  </si>
  <si>
    <t>GPTQ+Flip (K0.005,  F0.01)</t>
  </si>
  <si>
    <t>Llama-3-7B</t>
  </si>
  <si>
    <t>GPTQ+Flip (K0.0,  F0.005)</t>
  </si>
  <si>
    <t>Qwen-2.5</t>
  </si>
  <si>
    <t>GPTQ+Flip(K0.00,F0.005)</t>
  </si>
  <si>
    <t>AdaRound</t>
  </si>
  <si>
    <t>AdaRound+BC</t>
  </si>
  <si>
    <t>AdaRound+Flip (K0.01, F0.05)</t>
  </si>
  <si>
    <t>Llama-3.1</t>
  </si>
  <si>
    <t>3bits</t>
  </si>
  <si>
    <t>AVG</t>
  </si>
  <si>
    <t>AdaRound+Flip (-10,1)</t>
  </si>
  <si>
    <t>wiki</t>
  </si>
  <si>
    <t>c4</t>
  </si>
  <si>
    <t>Qwen2.5-7B · AWQ + smart_flip (3-bit, egbc_tune)</t>
  </si>
  <si>
    <t>wiki_ppl</t>
  </si>
  <si>
    <t>avg(5)</t>
  </si>
  <si>
    <t>float</t>
  </si>
  <si>
    <t>–</t>
  </si>
  <si>
    <t>raw</t>
  </si>
  <si>
    <t>Qwen2.5-7B · FlatQuant + smart_flip (3-bit, egbc_tune)</t>
  </si>
  <si>
    <t>Meta-Llama-3.1-8B · AWQ + smart_flip (3-bit, egbc_tune)</t>
  </si>
  <si>
    <t>Meta-Llama-3-8B · AWQ + smart_flip (3-bit, egbc_tune)</t>
  </si>
  <si>
    <t>* C4 ppl not available (tune script used --no-c4) | 14 earliest broken runs excluded | avg(5) = mean of arc-c arc-e boolq piqa rte</t>
  </si>
  <si>
    <t>RTN vs RTN+Flip 4 bit (W4A16)</t>
  </si>
  <si>
    <t>Naive RTN (A16)</t>
  </si>
  <si>
    <t>RTN+Flip (k0.0, f0.05, A16)</t>
  </si>
  <si>
    <t>~</t>
  </si>
  <si>
    <t>4 bit</t>
  </si>
  <si>
    <t>Old machine</t>
  </si>
  <si>
    <t>No F</t>
  </si>
  <si>
    <t>M0</t>
  </si>
  <si>
    <t>No K</t>
  </si>
  <si>
    <t>Best rerun</t>
  </si>
  <si>
    <t>M1</t>
  </si>
  <si>
    <t>k = -10</t>
  </si>
  <si>
    <t>no k</t>
  </si>
  <si>
    <t>f = 1</t>
  </si>
  <si>
    <t>no f</t>
  </si>
  <si>
    <t>besst</t>
  </si>
  <si>
    <t>Scale to fit 4 bit</t>
  </si>
  <si>
    <t>Scale to fit 3 bit</t>
  </si>
  <si>
    <t>3 bit</t>
  </si>
  <si>
    <t>Current one</t>
  </si>
  <si>
    <t>Wk2</t>
  </si>
  <si>
    <t>no F</t>
  </si>
  <si>
    <t>no K</t>
  </si>
  <si>
    <t>RTN vs RTN+Flip 3 bit (W3A16)</t>
  </si>
  <si>
    <t>Qwen2.5-7B · AWQ + smart_flip [3-bit]</t>
  </si>
  <si>
    <t>Qwen2.5-7B · FlatQuant + smart_flip [3-bit]</t>
  </si>
  <si>
    <t>Float avg</t>
  </si>
  <si>
    <t>Raw avg</t>
  </si>
  <si>
    <t>Float ppl</t>
  </si>
  <si>
    <t>Raw ppl</t>
  </si>
  <si>
    <t>knee↓ flip→</t>
  </si>
  <si>
    <t>f=0.01</t>
  </si>
  <si>
    <t>f=0.02</t>
  </si>
  <si>
    <t>f=0.03</t>
  </si>
  <si>
    <t>f=0.04</t>
  </si>
  <si>
    <t>f=0.05</t>
  </si>
  <si>
    <t>avg↑</t>
  </si>
  <si>
    <t>ppl↓</t>
  </si>
  <si>
    <t>k=0.0</t>
  </si>
  <si>
    <t>k=0.01</t>
  </si>
  <si>
    <t>k=0.02</t>
  </si>
  <si>
    <t>k=0.03</t>
  </si>
  <si>
    <t>k=0.04</t>
  </si>
  <si>
    <t>k=0.05</t>
  </si>
  <si>
    <t>Meta-Llama-3.1-8B · AWQ + smart_flip [3-bit]</t>
  </si>
  <si>
    <t>Meta-Llama-3-8B · AWQ + smart_flip [3-bit]</t>
  </si>
  <si>
    <t>Color scale: avg acc — red(low)→yellow→green(high) | ppl — green(low)→yellow→red(high) | Task cols: best-flip combo per knee row | Qwen FlatQuant k≥0.04 rows incomplete (still running)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</si>
</sst>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strike/>
      <color theme="1"/>
      <name val="Arial"/>
      <scheme val="minor"/>
    </font>
    <font>
      <strike/>
      <color rgb="FF2FB41D"/>
      <name val="Arial"/>
      <scheme val="minor"/>
    </font>
    <font>
      <b/>
      <strike/>
      <color theme="1"/>
      <name val="Arial"/>
      <scheme val="minor"/>
    </font>
    <font>
      <strike/>
      <color rgb="FF000000"/>
      <name val="Arial"/>
      <scheme val="minor"/>
    </font>
    <font>
      <b/>
      <strike/>
      <color rgb="FF000000"/>
      <name val="Arial"/>
      <scheme val="minor"/>
    </font>
    <font>
      <color rgb="FF2FB41D"/>
      <name val="Arial"/>
      <scheme val="minor"/>
    </font>
    <font>
      <strike/>
      <color theme="1"/>
      <name val="Arial"/>
    </font>
    <font>
      <b/>
      <strike/>
      <color theme="1"/>
      <name val="Arial"/>
    </font>
    <font>
      <sz val="12.0"/>
      <color rgb="FF363A3D"/>
      <name val="&quot;Source Sans Pro&quot;"/>
    </font>
    <font>
      <color rgb="FF000000"/>
      <name val="Arial"/>
    </font>
    <font>
      <color theme="1"/>
      <name val="Calibri"/>
    </font>
    <font>
      <color rgb="FFD9D9D9"/>
      <name val="Arial"/>
      <scheme val="minor"/>
    </font>
    <font>
      <b/>
      <color theme="1"/>
      <name val="Cambria"/>
    </font>
    <font>
      <color theme="1"/>
      <name val="Cambria"/>
    </font>
    <font>
      <sz val="8.0"/>
      <color theme="1"/>
      <name val="Cambria"/>
    </font>
    <font>
      <i/>
      <sz val="8.0"/>
      <color rgb="FF777777"/>
      <name val="Cambria"/>
    </font>
    <font>
      <b/>
      <u/>
      <color theme="1"/>
      <name val="Arial"/>
      <scheme val="minor"/>
    </font>
    <font>
      <b/>
      <color rgb="FFFFFFFF"/>
      <name val="Cambria"/>
    </font>
    <font>
      <b/>
      <color rgb="FF000000"/>
      <name val="Cambria"/>
    </font>
    <font>
      <color rgb="FF000000"/>
      <name val="Cambria"/>
    </font>
    <font>
      <sz val="8.0"/>
      <color rgb="FF555555"/>
      <name val="Cambria"/>
    </font>
    <font>
      <i/>
      <sz val="8.0"/>
      <color rgb="FF666666"/>
      <name val="Cambria"/>
    </font>
  </fonts>
  <fills count="19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660000"/>
        <bgColor rgb="FF660000"/>
      </patternFill>
    </fill>
    <fill>
      <patternFill patternType="solid">
        <fgColor rgb="FF783F04"/>
        <bgColor rgb="FF783F04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BDB00"/>
        <bgColor rgb="FFFBDB00"/>
      </patternFill>
    </fill>
    <fill>
      <patternFill patternType="solid">
        <fgColor rgb="FFFAC104"/>
        <bgColor rgb="FFFAC104"/>
      </patternFill>
    </fill>
    <fill>
      <patternFill patternType="solid">
        <fgColor rgb="FFFEDA00"/>
        <bgColor rgb="FFFEDA00"/>
      </patternFill>
    </fill>
    <fill>
      <patternFill patternType="solid">
        <fgColor rgb="FFDF311A"/>
        <bgColor rgb="FFDF311A"/>
      </patternFill>
    </fill>
    <fill>
      <patternFill patternType="solid">
        <fgColor rgb="FF6AC42E"/>
        <bgColor rgb="FF6AC42E"/>
      </patternFill>
    </fill>
    <fill>
      <patternFill patternType="solid">
        <fgColor rgb="FFFBCA02"/>
        <bgColor rgb="FFFBCA02"/>
      </patternFill>
    </fill>
    <fill>
      <patternFill patternType="solid">
        <fgColor rgb="FF9ACC1F"/>
        <bgColor rgb="FF9ACC1F"/>
      </patternFill>
    </fill>
    <fill>
      <patternFill patternType="solid">
        <fgColor rgb="FFDC1E1E"/>
        <bgColor rgb="FFDC1E1E"/>
      </patternFill>
    </fill>
    <fill>
      <patternFill patternType="solid">
        <fgColor rgb="FFCED40F"/>
        <bgColor rgb="FFCED40F"/>
      </patternFill>
    </fill>
    <fill>
      <patternFill patternType="solid">
        <fgColor rgb="FF41BE3B"/>
        <bgColor rgb="FF41BE3B"/>
      </patternFill>
    </fill>
    <fill>
      <patternFill patternType="solid">
        <fgColor rgb="FF79C729"/>
        <bgColor rgb="FF79C729"/>
      </patternFill>
    </fill>
    <fill>
      <patternFill patternType="solid">
        <fgColor rgb="FFFCCE02"/>
        <bgColor rgb="FFFCCE02"/>
      </patternFill>
    </fill>
    <fill>
      <patternFill patternType="solid">
        <fgColor rgb="FFA8CE1B"/>
        <bgColor rgb="FFA8CE1B"/>
      </patternFill>
    </fill>
    <fill>
      <patternFill patternType="solid">
        <fgColor rgb="FFF3DA03"/>
        <bgColor rgb="FFF3DA03"/>
      </patternFill>
    </fill>
    <fill>
      <patternFill patternType="solid">
        <fgColor rgb="FFD5D50C"/>
        <bgColor rgb="FFD5D50C"/>
      </patternFill>
    </fill>
    <fill>
      <patternFill patternType="solid">
        <fgColor rgb="FFE9D806"/>
        <bgColor rgb="FFE9D806"/>
      </patternFill>
    </fill>
    <fill>
      <patternFill patternType="solid">
        <fgColor rgb="FF97CB20"/>
        <bgColor rgb="FF97CB20"/>
      </patternFill>
    </fill>
    <fill>
      <patternFill patternType="solid">
        <fgColor rgb="FFCAD310"/>
        <bgColor rgb="FFCAD310"/>
      </patternFill>
    </fill>
    <fill>
      <patternFill patternType="solid">
        <fgColor rgb="FFCFD40E"/>
        <bgColor rgb="FFCFD40E"/>
      </patternFill>
    </fill>
    <fill>
      <patternFill patternType="solid">
        <fgColor rgb="FF54C135"/>
        <bgColor rgb="FF54C135"/>
      </patternFill>
    </fill>
    <fill>
      <patternFill patternType="solid">
        <fgColor rgb="FF2CBB41"/>
        <bgColor rgb="FF2CBB41"/>
      </patternFill>
    </fill>
    <fill>
      <patternFill patternType="solid">
        <fgColor rgb="FF7BC729"/>
        <bgColor rgb="FF7BC729"/>
      </patternFill>
    </fill>
    <fill>
      <patternFill patternType="solid">
        <fgColor rgb="FF83C826"/>
        <bgColor rgb="FF83C826"/>
      </patternFill>
    </fill>
    <fill>
      <patternFill patternType="solid">
        <fgColor rgb="FFC2D212"/>
        <bgColor rgb="FFC2D212"/>
      </patternFill>
    </fill>
    <fill>
      <patternFill patternType="solid">
        <fgColor rgb="FFB9D115"/>
        <bgColor rgb="FFB9D115"/>
      </patternFill>
    </fill>
    <fill>
      <patternFill patternType="solid">
        <fgColor rgb="FFF5A608"/>
        <bgColor rgb="FFF5A608"/>
      </patternFill>
    </fill>
    <fill>
      <patternFill patternType="solid">
        <fgColor rgb="FFF1900B"/>
        <bgColor rgb="FFF1900B"/>
      </patternFill>
    </fill>
    <fill>
      <patternFill patternType="solid">
        <fgColor rgb="FFFBC803"/>
        <bgColor rgb="FFFBC803"/>
      </patternFill>
    </fill>
    <fill>
      <patternFill patternType="solid">
        <fgColor rgb="FFFDD101"/>
        <bgColor rgb="FFFDD101"/>
      </patternFill>
    </fill>
    <fill>
      <patternFill patternType="solid">
        <fgColor rgb="FFA4CD1C"/>
        <bgColor rgb="FFA4CD1C"/>
      </patternFill>
    </fill>
    <fill>
      <patternFill patternType="solid">
        <fgColor rgb="FFE2D708"/>
        <bgColor rgb="FFE2D708"/>
      </patternFill>
    </fill>
    <fill>
      <patternFill patternType="solid">
        <fgColor rgb="FF33BC3F"/>
        <bgColor rgb="FF33BC3F"/>
      </patternFill>
    </fill>
    <fill>
      <patternFill patternType="solid">
        <fgColor rgb="FF89C924"/>
        <bgColor rgb="FF89C924"/>
      </patternFill>
    </fill>
    <fill>
      <patternFill patternType="solid">
        <fgColor rgb="FFD0D40E"/>
        <bgColor rgb="FFD0D40E"/>
      </patternFill>
    </fill>
    <fill>
      <patternFill patternType="solid">
        <fgColor rgb="FF4ABF38"/>
        <bgColor rgb="FF4ABF38"/>
      </patternFill>
    </fill>
    <fill>
      <patternFill patternType="solid">
        <fgColor rgb="FF71C52C"/>
        <bgColor rgb="FF71C52C"/>
      </patternFill>
    </fill>
    <fill>
      <patternFill patternType="solid">
        <fgColor rgb="FFF8B705"/>
        <bgColor rgb="FFF8B705"/>
      </patternFill>
    </fill>
    <fill>
      <patternFill patternType="solid">
        <fgColor rgb="FFFCCD02"/>
        <bgColor rgb="FFFCCD02"/>
      </patternFill>
    </fill>
    <fill>
      <patternFill patternType="solid">
        <fgColor rgb="FFC3D212"/>
        <bgColor rgb="FFC3D212"/>
      </patternFill>
    </fill>
    <fill>
      <patternFill patternType="solid">
        <fgColor rgb="FFADCF19"/>
        <bgColor rgb="FFADCF19"/>
      </patternFill>
    </fill>
    <fill>
      <patternFill patternType="solid">
        <fgColor rgb="FF7CC729"/>
        <bgColor rgb="FF7CC729"/>
      </patternFill>
    </fill>
    <fill>
      <patternFill patternType="solid">
        <fgColor rgb="FF77C62A"/>
        <bgColor rgb="FF77C62A"/>
      </patternFill>
    </fill>
    <fill>
      <patternFill patternType="solid">
        <fgColor rgb="FFF0D904"/>
        <bgColor rgb="FFF0D904"/>
      </patternFill>
    </fill>
    <fill>
      <patternFill patternType="solid">
        <fgColor rgb="FF00B450"/>
        <bgColor rgb="FF00B450"/>
      </patternFill>
    </fill>
    <fill>
      <patternFill patternType="solid">
        <fgColor rgb="FFEF870D"/>
        <bgColor rgb="FFEF870D"/>
      </patternFill>
    </fill>
    <fill>
      <patternFill patternType="solid">
        <fgColor rgb="FFBBD115"/>
        <bgColor rgb="FFBBD115"/>
      </patternFill>
    </fill>
    <fill>
      <patternFill patternType="solid">
        <fgColor rgb="FFB4D017"/>
        <bgColor rgb="FFB4D017"/>
      </patternFill>
    </fill>
    <fill>
      <patternFill patternType="solid">
        <fgColor rgb="FF9CCC1E"/>
        <bgColor rgb="FF9CCC1E"/>
      </patternFill>
    </fill>
    <fill>
      <patternFill patternType="solid">
        <fgColor rgb="FFD2D40E"/>
        <bgColor rgb="FFD2D40E"/>
      </patternFill>
    </fill>
    <fill>
      <patternFill patternType="solid">
        <fgColor rgb="FF85C826"/>
        <bgColor rgb="FF85C826"/>
      </patternFill>
    </fill>
    <fill>
      <patternFill patternType="solid">
        <fgColor rgb="FFD3D50D"/>
        <bgColor rgb="FFD3D50D"/>
      </patternFill>
    </fill>
    <fill>
      <patternFill patternType="solid">
        <fgColor rgb="FF8AC924"/>
        <bgColor rgb="FF8AC924"/>
      </patternFill>
    </fill>
    <fill>
      <patternFill patternType="solid">
        <fgColor rgb="FFB8D016"/>
        <bgColor rgb="FFB8D016"/>
      </patternFill>
    </fill>
    <fill>
      <patternFill patternType="solid">
        <fgColor rgb="FF1BB847"/>
        <bgColor rgb="FF1BB847"/>
      </patternFill>
    </fill>
    <fill>
      <patternFill patternType="solid">
        <fgColor rgb="FFE65914"/>
        <bgColor rgb="FFE65914"/>
      </patternFill>
    </fill>
    <fill>
      <patternFill patternType="solid">
        <fgColor rgb="FFB2D017"/>
        <bgColor rgb="FFB2D017"/>
      </patternFill>
    </fill>
    <fill>
      <patternFill patternType="solid">
        <fgColor rgb="FF4CBF38"/>
        <bgColor rgb="FF4CBF38"/>
      </patternFill>
    </fill>
    <fill>
      <patternFill patternType="solid">
        <fgColor rgb="FF24B944"/>
        <bgColor rgb="FF24B944"/>
      </patternFill>
    </fill>
    <fill>
      <patternFill patternType="solid">
        <fgColor rgb="FF73C62B"/>
        <bgColor rgb="FF73C62B"/>
      </patternFill>
    </fill>
    <fill>
      <patternFill patternType="solid">
        <fgColor rgb="FFF8B805"/>
        <bgColor rgb="FFF8B805"/>
      </patternFill>
    </fill>
    <fill>
      <patternFill patternType="solid">
        <fgColor rgb="FFF6AB07"/>
        <bgColor rgb="FFF6AB07"/>
      </patternFill>
    </fill>
    <fill>
      <patternFill patternType="solid">
        <fgColor rgb="FFFAC204"/>
        <bgColor rgb="FFFAC204"/>
      </patternFill>
    </fill>
    <fill>
      <patternFill patternType="solid">
        <fgColor rgb="FFDD261C"/>
        <bgColor rgb="FFDD261C"/>
      </patternFill>
    </fill>
    <fill>
      <patternFill patternType="solid">
        <fgColor rgb="FFFDDB00"/>
        <bgColor rgb="FFFDDB00"/>
      </patternFill>
    </fill>
    <fill>
      <patternFill patternType="solid">
        <fgColor rgb="FFF4A109"/>
        <bgColor rgb="FFF4A109"/>
      </patternFill>
    </fill>
    <fill>
      <patternFill patternType="solid">
        <fgColor rgb="FFC0D213"/>
        <bgColor rgb="FFC0D213"/>
      </patternFill>
    </fill>
    <fill>
      <patternFill patternType="solid">
        <fgColor rgb="FF50C036"/>
        <bgColor rgb="FF50C036"/>
      </patternFill>
    </fill>
    <fill>
      <patternFill patternType="solid">
        <fgColor rgb="FF7DC728"/>
        <bgColor rgb="FF7DC728"/>
      </patternFill>
    </fill>
    <fill>
      <patternFill patternType="solid">
        <fgColor rgb="FFF2970A"/>
        <bgColor rgb="FFF2970A"/>
      </patternFill>
    </fill>
    <fill>
      <patternFill patternType="solid">
        <fgColor rgb="FF95CB21"/>
        <bgColor rgb="FF95CB21"/>
      </patternFill>
    </fill>
    <fill>
      <patternFill patternType="solid">
        <fgColor rgb="FF6BC42E"/>
        <bgColor rgb="FF6BC42E"/>
      </patternFill>
    </fill>
    <fill>
      <patternFill patternType="solid">
        <fgColor rgb="FFF8B905"/>
        <bgColor rgb="FFF8B905"/>
      </patternFill>
    </fill>
    <fill>
      <patternFill patternType="solid">
        <fgColor rgb="FFEED905"/>
        <bgColor rgb="FFEED905"/>
      </patternFill>
    </fill>
    <fill>
      <patternFill patternType="solid">
        <fgColor rgb="FF26B944"/>
        <bgColor rgb="FF26B944"/>
      </patternFill>
    </fill>
    <fill>
      <patternFill patternType="solid">
        <fgColor rgb="FF81C827"/>
        <bgColor rgb="FF81C827"/>
      </patternFill>
    </fill>
    <fill>
      <patternFill patternType="solid">
        <fgColor rgb="FF80C827"/>
        <bgColor rgb="FF80C827"/>
      </patternFill>
    </fill>
    <fill>
      <patternFill patternType="solid">
        <fgColor rgb="FFC4D212"/>
        <bgColor rgb="FFC4D212"/>
      </patternFill>
    </fill>
    <fill>
      <patternFill patternType="solid">
        <fgColor rgb="FFCBD310"/>
        <bgColor rgb="FFCBD310"/>
      </patternFill>
    </fill>
    <fill>
      <patternFill patternType="solid">
        <fgColor rgb="FFF1D904"/>
        <bgColor rgb="FFF1D904"/>
      </patternFill>
    </fill>
    <fill>
      <patternFill patternType="solid">
        <fgColor rgb="FFFEDB00"/>
        <bgColor rgb="FFFEDB00"/>
      </patternFill>
    </fill>
    <fill>
      <patternFill patternType="solid">
        <fgColor rgb="FFD4D50D"/>
        <bgColor rgb="FFD4D50D"/>
      </patternFill>
    </fill>
    <fill>
      <patternFill patternType="solid">
        <fgColor rgb="FF40BE3B"/>
        <bgColor rgb="FF40BE3B"/>
      </patternFill>
    </fill>
    <fill>
      <patternFill patternType="solid">
        <fgColor rgb="FFFDD301"/>
        <bgColor rgb="FFFDD301"/>
      </patternFill>
    </fill>
    <fill>
      <patternFill patternType="solid">
        <fgColor rgb="FF98CB20"/>
        <bgColor rgb="FF98CB20"/>
      </patternFill>
    </fill>
    <fill>
      <patternFill patternType="solid">
        <fgColor rgb="FFEEEEEE"/>
        <bgColor rgb="FFEEEEEE"/>
      </patternFill>
    </fill>
    <fill>
      <patternFill patternType="solid">
        <fgColor rgb="FFF9BE04"/>
        <bgColor rgb="FFF9BE04"/>
      </patternFill>
    </fill>
    <fill>
      <patternFill patternType="solid">
        <fgColor rgb="FF4BBF38"/>
        <bgColor rgb="FF4BBF38"/>
      </patternFill>
    </fill>
    <fill>
      <patternFill patternType="solid">
        <fgColor rgb="FF2BBA42"/>
        <bgColor rgb="FF2BBA42"/>
      </patternFill>
    </fill>
    <fill>
      <patternFill patternType="solid">
        <fgColor rgb="FFFBCB02"/>
        <bgColor rgb="FFFBCB02"/>
      </patternFill>
    </fill>
    <fill>
      <patternFill patternType="solid">
        <fgColor rgb="FFEE800E"/>
        <bgColor rgb="FFEE800E"/>
      </patternFill>
    </fill>
    <fill>
      <patternFill patternType="solid">
        <fgColor rgb="FF30BB40"/>
        <bgColor rgb="FF30BB40"/>
      </patternFill>
    </fill>
    <fill>
      <patternFill patternType="solid">
        <fgColor rgb="FFE44A16"/>
        <bgColor rgb="FFE44A16"/>
      </patternFill>
    </fill>
    <fill>
      <patternFill patternType="solid">
        <fgColor rgb="FFC1D213"/>
        <bgColor rgb="FFC1D213"/>
      </patternFill>
    </fill>
    <fill>
      <patternFill patternType="solid">
        <fgColor rgb="FFCDD40F"/>
        <bgColor rgb="FFCDD40F"/>
      </patternFill>
    </fill>
    <fill>
      <patternFill patternType="solid">
        <fgColor rgb="FFD9D60B"/>
        <bgColor rgb="FFD9D60B"/>
      </patternFill>
    </fill>
    <fill>
      <patternFill patternType="solid">
        <fgColor rgb="FF49BF39"/>
        <bgColor rgb="FF49BF39"/>
      </patternFill>
    </fill>
    <fill>
      <patternFill patternType="solid">
        <fgColor rgb="FFDFD709"/>
        <bgColor rgb="FFDFD709"/>
      </patternFill>
    </fill>
    <fill>
      <patternFill patternType="solid">
        <fgColor rgb="FFED7E0E"/>
        <bgColor rgb="FFED7E0E"/>
      </patternFill>
    </fill>
    <fill>
      <patternFill patternType="solid">
        <fgColor rgb="FF3BBD3D"/>
        <bgColor rgb="FF3BBD3D"/>
      </patternFill>
    </fill>
    <fill>
      <patternFill patternType="solid">
        <fgColor rgb="FFED7F0E"/>
        <bgColor rgb="FFED7F0E"/>
      </patternFill>
    </fill>
    <fill>
      <patternFill patternType="solid">
        <fgColor rgb="FFBED114"/>
        <bgColor rgb="FFBED114"/>
      </patternFill>
    </fill>
    <fill>
      <patternFill patternType="solid">
        <fgColor rgb="FFFCCC02"/>
        <bgColor rgb="FFFCCC02"/>
      </patternFill>
    </fill>
    <fill>
      <patternFill patternType="solid">
        <fgColor rgb="FFD2D50D"/>
        <bgColor rgb="FFD2D50D"/>
      </patternFill>
    </fill>
    <fill>
      <patternFill patternType="solid">
        <fgColor rgb="FFB5D017"/>
        <bgColor rgb="FFB5D017"/>
      </patternFill>
    </fill>
    <fill>
      <patternFill patternType="solid">
        <fgColor rgb="FF96CB20"/>
        <bgColor rgb="FF96CB20"/>
      </patternFill>
    </fill>
    <fill>
      <patternFill patternType="solid">
        <fgColor rgb="FFF08E0C"/>
        <bgColor rgb="FFF08E0C"/>
      </patternFill>
    </fill>
    <fill>
      <patternFill patternType="solid">
        <fgColor rgb="FF39BC3E"/>
        <bgColor rgb="FF39BC3E"/>
      </patternFill>
    </fill>
    <fill>
      <patternFill patternType="solid">
        <fgColor rgb="FFE7D807"/>
        <bgColor rgb="FFE7D807"/>
      </patternFill>
    </fill>
    <fill>
      <patternFill patternType="solid">
        <fgColor rgb="FFF39E09"/>
        <bgColor rgb="FFF39E09"/>
      </patternFill>
    </fill>
    <fill>
      <patternFill patternType="solid">
        <fgColor rgb="FFD7D50C"/>
        <bgColor rgb="FFD7D50C"/>
      </patternFill>
    </fill>
    <fill>
      <patternFill patternType="solid">
        <fgColor rgb="FFA9CE1A"/>
        <bgColor rgb="FFA9CE1A"/>
      </patternFill>
    </fill>
    <fill>
      <patternFill patternType="solid">
        <fgColor rgb="FF8ECA23"/>
        <bgColor rgb="FF8ECA23"/>
      </patternFill>
    </fill>
    <fill>
      <patternFill patternType="solid">
        <fgColor rgb="FFEA6E11"/>
        <bgColor rgb="FFEA6E11"/>
      </patternFill>
    </fill>
    <fill>
      <patternFill patternType="solid">
        <fgColor rgb="FFE34717"/>
        <bgColor rgb="FFE34717"/>
      </patternFill>
    </fill>
    <fill>
      <patternFill patternType="solid">
        <fgColor rgb="FFEC7610"/>
        <bgColor rgb="FFEC7610"/>
      </patternFill>
    </fill>
    <fill>
      <patternFill patternType="solid">
        <fgColor rgb="FFEDD905"/>
        <bgColor rgb="FFEDD905"/>
      </patternFill>
    </fill>
    <fill>
      <patternFill patternType="solid">
        <fgColor rgb="FF92CA22"/>
        <bgColor rgb="FF92CA22"/>
      </patternFill>
    </fill>
    <fill>
      <patternFill patternType="solid">
        <fgColor rgb="FFF4A508"/>
        <bgColor rgb="FFF4A508"/>
      </patternFill>
    </fill>
    <fill>
      <patternFill patternType="solid">
        <fgColor rgb="FF01B44F"/>
        <bgColor rgb="FF01B44F"/>
      </patternFill>
    </fill>
    <fill>
      <patternFill patternType="solid">
        <fgColor rgb="FF5EC232"/>
        <bgColor rgb="FF5EC232"/>
      </patternFill>
    </fill>
    <fill>
      <patternFill patternType="solid">
        <fgColor rgb="FFFDD501"/>
        <bgColor rgb="FFFDD501"/>
      </patternFill>
    </fill>
    <fill>
      <patternFill patternType="solid">
        <fgColor rgb="FFDDD60A"/>
        <bgColor rgb="FFDDD60A"/>
      </patternFill>
    </fill>
    <fill>
      <patternFill patternType="solid">
        <fgColor rgb="FF9DCC1E"/>
        <bgColor rgb="FF9DCC1E"/>
      </patternFill>
    </fill>
    <fill>
      <patternFill patternType="solid">
        <fgColor rgb="FFA5CD1C"/>
        <bgColor rgb="FFA5CD1C"/>
      </patternFill>
    </fill>
    <fill>
      <patternFill patternType="solid">
        <fgColor rgb="FFC6D311"/>
        <bgColor rgb="FFC6D311"/>
      </patternFill>
    </fill>
    <fill>
      <patternFill patternType="solid">
        <fgColor rgb="FF91CA22"/>
        <bgColor rgb="FF91CA22"/>
      </patternFill>
    </fill>
    <fill>
      <patternFill patternType="solid">
        <fgColor rgb="FFEB7310"/>
        <bgColor rgb="FFEB7310"/>
      </patternFill>
    </fill>
    <fill>
      <patternFill patternType="solid">
        <fgColor rgb="FF68C42F"/>
        <bgColor rgb="FF68C42F"/>
      </patternFill>
    </fill>
    <fill>
      <patternFill patternType="solid">
        <fgColor rgb="FFF2980A"/>
        <bgColor rgb="FFF2980A"/>
      </patternFill>
    </fill>
    <fill>
      <patternFill patternType="solid">
        <fgColor rgb="FFF8BA05"/>
        <bgColor rgb="FFF8BA05"/>
      </patternFill>
    </fill>
    <fill>
      <patternFill patternType="solid">
        <fgColor rgb="FFE55315"/>
        <bgColor rgb="FFE55315"/>
      </patternFill>
    </fill>
    <fill>
      <patternFill patternType="solid">
        <fgColor rgb="FFF9DB01"/>
        <bgColor rgb="FFF9DB01"/>
      </patternFill>
    </fill>
    <fill>
      <patternFill patternType="solid">
        <fgColor rgb="FFFAC303"/>
        <bgColor rgb="FFFAC303"/>
      </patternFill>
    </fill>
    <fill>
      <patternFill patternType="solid">
        <fgColor rgb="FFBFD213"/>
        <bgColor rgb="FFBFD213"/>
      </patternFill>
    </fill>
    <fill>
      <patternFill patternType="solid">
        <fgColor rgb="FFAACE1A"/>
        <bgColor rgb="FFAACE1A"/>
      </patternFill>
    </fill>
    <fill>
      <patternFill patternType="solid">
        <fgColor rgb="FFD5D50D"/>
        <bgColor rgb="FFD5D50D"/>
      </patternFill>
    </fill>
    <fill>
      <patternFill patternType="solid">
        <fgColor rgb="FFEE810E"/>
        <bgColor rgb="FFEE810E"/>
      </patternFill>
    </fill>
    <fill>
      <patternFill patternType="solid">
        <fgColor rgb="FF84C826"/>
        <bgColor rgb="FF84C826"/>
      </patternFill>
    </fill>
    <fill>
      <patternFill patternType="solid">
        <fgColor rgb="FFEC770F"/>
        <bgColor rgb="FFEC770F"/>
      </patternFill>
    </fill>
    <fill>
      <patternFill patternType="solid">
        <fgColor rgb="FFE6D807"/>
        <bgColor rgb="FFE6D807"/>
      </patternFill>
    </fill>
    <fill>
      <patternFill patternType="solid">
        <fgColor rgb="FFED7C0F"/>
        <bgColor rgb="FFED7C0F"/>
      </patternFill>
    </fill>
    <fill>
      <patternFill patternType="solid">
        <fgColor rgb="FFACCF19"/>
        <bgColor rgb="FFACCF19"/>
      </patternFill>
    </fill>
    <fill>
      <patternFill patternType="solid">
        <fgColor rgb="FFF8DB01"/>
        <bgColor rgb="FFF8DB01"/>
      </patternFill>
    </fill>
    <fill>
      <patternFill patternType="solid">
        <fgColor rgb="FF8DCA23"/>
        <bgColor rgb="FF8DCA23"/>
      </patternFill>
    </fill>
    <fill>
      <patternFill patternType="solid">
        <fgColor rgb="FFEA6A11"/>
        <bgColor rgb="FFEA6A11"/>
      </patternFill>
    </fill>
    <fill>
      <patternFill patternType="solid">
        <fgColor rgb="FF57C134"/>
        <bgColor rgb="FF57C134"/>
      </patternFill>
    </fill>
    <fill>
      <patternFill patternType="solid">
        <fgColor rgb="FFFADB01"/>
        <bgColor rgb="FFFADB01"/>
      </patternFill>
    </fill>
    <fill>
      <patternFill patternType="solid">
        <fgColor rgb="FFB7D016"/>
        <bgColor rgb="FFB7D016"/>
      </patternFill>
    </fill>
    <fill>
      <patternFill patternType="solid">
        <fgColor rgb="FF94CB21"/>
        <bgColor rgb="FF94CB21"/>
      </patternFill>
    </fill>
    <fill>
      <patternFill patternType="solid">
        <fgColor rgb="FFF1930B"/>
        <bgColor rgb="FFF1930B"/>
      </patternFill>
    </fill>
    <fill>
      <patternFill patternType="solid">
        <fgColor rgb="FFF4DA03"/>
        <bgColor rgb="FFF4DA03"/>
      </patternFill>
    </fill>
    <fill>
      <patternFill patternType="solid">
        <fgColor rgb="FFF2990A"/>
        <bgColor rgb="FFF2990A"/>
      </patternFill>
    </fill>
    <fill>
      <patternFill patternType="solid">
        <fgColor rgb="FFFBC902"/>
        <bgColor rgb="FFFBC902"/>
      </patternFill>
    </fill>
    <fill>
      <patternFill patternType="solid">
        <fgColor rgb="FFF5DA03"/>
        <bgColor rgb="FFF5DA03"/>
      </patternFill>
    </fill>
    <fill>
      <patternFill patternType="solid">
        <fgColor rgb="FF99CC1F"/>
        <bgColor rgb="FF99CC1F"/>
      </patternFill>
    </fill>
    <fill>
      <patternFill patternType="solid">
        <fgColor rgb="FFE96912"/>
        <bgColor rgb="FFE96912"/>
      </patternFill>
    </fill>
    <fill>
      <patternFill patternType="solid">
        <fgColor rgb="FFE86013"/>
        <bgColor rgb="FFE86013"/>
      </patternFill>
    </fill>
    <fill>
      <patternFill patternType="solid">
        <fgColor rgb="FFF39D09"/>
        <bgColor rgb="FFF39D09"/>
      </patternFill>
    </fill>
    <fill>
      <patternFill patternType="solid">
        <fgColor rgb="FFB6D016"/>
        <bgColor rgb="FFB6D016"/>
      </patternFill>
    </fill>
    <fill>
      <patternFill patternType="solid">
        <fgColor rgb="FFBAD115"/>
        <bgColor rgb="FFBAD115"/>
      </patternFill>
    </fill>
    <fill>
      <patternFill patternType="solid">
        <fgColor rgb="FF69C42E"/>
        <bgColor rgb="FF69C42E"/>
      </patternFill>
    </fill>
    <fill>
      <patternFill patternType="solid">
        <fgColor rgb="FFDBD60B"/>
        <bgColor rgb="FFDBD60B"/>
      </patternFill>
    </fill>
    <fill>
      <patternFill patternType="solid">
        <fgColor rgb="FFFAC503"/>
        <bgColor rgb="FFFAC503"/>
      </patternFill>
    </fill>
    <fill>
      <patternFill patternType="solid">
        <fgColor rgb="FFE34417"/>
        <bgColor rgb="FFE34417"/>
      </patternFill>
    </fill>
    <fill>
      <patternFill patternType="solid">
        <fgColor rgb="FFF6AE07"/>
        <bgColor rgb="FFF6AE07"/>
      </patternFill>
    </fill>
    <fill>
      <patternFill patternType="solid">
        <fgColor rgb="FFA2CD1D"/>
        <bgColor rgb="FFA2CD1D"/>
      </patternFill>
    </fill>
    <fill>
      <patternFill patternType="solid">
        <fgColor rgb="FFF7DA02"/>
        <bgColor rgb="FFF7DA02"/>
      </patternFill>
    </fill>
    <fill>
      <patternFill patternType="solid">
        <fgColor rgb="FFEA6B11"/>
        <bgColor rgb="FFEA6B11"/>
      </patternFill>
    </fill>
    <fill>
      <patternFill patternType="solid">
        <fgColor rgb="FFF4A209"/>
        <bgColor rgb="FFF4A209"/>
      </patternFill>
    </fill>
    <fill>
      <patternFill patternType="solid">
        <fgColor rgb="FFB3D017"/>
        <bgColor rgb="FFB3D017"/>
      </patternFill>
    </fill>
    <fill>
      <patternFill patternType="solid">
        <fgColor rgb="FFDED60A"/>
        <bgColor rgb="FFDED60A"/>
      </patternFill>
    </fill>
    <fill>
      <patternFill patternType="solid">
        <fgColor rgb="FFF39C0A"/>
        <bgColor rgb="FFF39C0A"/>
      </patternFill>
    </fill>
    <fill>
      <patternFill patternType="solid">
        <fgColor rgb="FFC5D311"/>
        <bgColor rgb="FFC5D311"/>
      </patternFill>
    </fill>
    <fill>
      <patternFill patternType="solid">
        <fgColor rgb="FFFCDB00"/>
        <bgColor rgb="FFFCDB00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3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4" fontId="1" numFmtId="0" xfId="0" applyFill="1" applyFont="1"/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5" fontId="1" numFmtId="0" xfId="0" applyFill="1" applyFont="1"/>
    <xf borderId="0" fillId="5" fontId="1" numFmtId="0" xfId="0" applyAlignment="1" applyFont="1">
      <alignment readingOrder="0"/>
    </xf>
    <xf borderId="0" fillId="5" fontId="1" numFmtId="0" xfId="0" applyAlignment="1" applyFont="1">
      <alignment horizontal="left" readingOrder="0" vertical="bottom"/>
    </xf>
    <xf borderId="0" fillId="5" fontId="2" numFmtId="0" xfId="0" applyAlignment="1" applyFont="1">
      <alignment horizontal="right" readingOrder="0" vertical="bottom"/>
    </xf>
    <xf quotePrefix="1" borderId="0" fillId="5" fontId="1" numFmtId="0" xfId="0" applyAlignment="1" applyFont="1">
      <alignment readingOrder="0"/>
    </xf>
    <xf borderId="0" fillId="5" fontId="4" numFmtId="0" xfId="0" applyFont="1"/>
    <xf borderId="0" fillId="5" fontId="4" numFmtId="0" xfId="0" applyAlignment="1" applyFont="1">
      <alignment horizontal="left" readingOrder="0" vertical="bottom"/>
    </xf>
    <xf borderId="0" fillId="3" fontId="1" numFmtId="0" xfId="0" applyFont="1"/>
    <xf borderId="0" fillId="0" fontId="1" numFmtId="0" xfId="0" applyFont="1"/>
    <xf borderId="0" fillId="0" fontId="4" numFmtId="0" xfId="0" applyFont="1"/>
    <xf quotePrefix="1" borderId="0" fillId="0" fontId="1" numFmtId="0" xfId="0" applyFont="1"/>
    <xf borderId="0" fillId="5" fontId="2" numFmtId="0" xfId="0" applyAlignment="1" applyFont="1">
      <alignment readingOrder="0"/>
    </xf>
    <xf borderId="0" fillId="5" fontId="1" numFmtId="0" xfId="0" applyFont="1"/>
    <xf borderId="0" fillId="5" fontId="4" numFmtId="0" xfId="0" applyFont="1"/>
    <xf borderId="0" fillId="5" fontId="4" numFmtId="0" xfId="0" applyAlignment="1" applyFont="1">
      <alignment readingOrder="0"/>
    </xf>
    <xf quotePrefix="1" borderId="0" fillId="5" fontId="1" numFmtId="0" xfId="0" applyFont="1"/>
    <xf borderId="0" fillId="3" fontId="1" numFmtId="0" xfId="0" applyFont="1"/>
    <xf quotePrefix="1" borderId="0" fillId="3" fontId="1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vertical="bottom"/>
    </xf>
    <xf quotePrefix="1"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" numFmtId="0" xfId="0" applyAlignment="1" applyFill="1" applyFont="1">
      <alignment readingOrder="0"/>
    </xf>
    <xf borderId="0" fillId="6" fontId="1" numFmtId="0" xfId="0" applyFont="1"/>
    <xf borderId="0" fillId="6" fontId="1" numFmtId="0" xfId="0" applyFont="1"/>
    <xf borderId="0" fillId="3" fontId="5" numFmtId="0" xfId="0" applyAlignment="1" applyFont="1">
      <alignment vertical="bottom"/>
    </xf>
    <xf quotePrefix="1" borderId="0" fillId="0" fontId="5" numFmtId="0" xfId="0" applyAlignment="1" applyFont="1">
      <alignment vertical="bottom"/>
    </xf>
    <xf borderId="0" fillId="5" fontId="5" numFmtId="0" xfId="0" applyAlignment="1" applyFont="1">
      <alignment vertical="bottom"/>
    </xf>
    <xf quotePrefix="1" borderId="0" fillId="5" fontId="5" numFmtId="0" xfId="0" applyAlignment="1" applyFont="1">
      <alignment vertical="bottom"/>
    </xf>
    <xf quotePrefix="1" borderId="0" fillId="4" fontId="1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2" fontId="2" numFmtId="0" xfId="0" applyAlignment="1" applyFont="1">
      <alignment horizontal="right" readingOrder="0" vertical="bottom"/>
    </xf>
    <xf borderId="0" fillId="7" fontId="1" numFmtId="0" xfId="0" applyAlignment="1" applyFill="1" applyFont="1">
      <alignment readingOrder="0"/>
    </xf>
    <xf borderId="0" fillId="7" fontId="1" numFmtId="0" xfId="0" applyFont="1"/>
    <xf borderId="0" fillId="7" fontId="5" numFmtId="0" xfId="0" applyAlignment="1" applyFont="1">
      <alignment horizontal="right" vertical="bottom"/>
    </xf>
    <xf borderId="0" fillId="7" fontId="1" numFmtId="0" xfId="0" applyFont="1"/>
    <xf quotePrefix="1" borderId="0" fillId="7" fontId="1" numFmtId="0" xfId="0" applyAlignment="1" applyFont="1">
      <alignment readingOrder="0"/>
    </xf>
    <xf borderId="0" fillId="7" fontId="2" numFmtId="0" xfId="0" applyAlignment="1" applyFont="1">
      <alignment horizontal="right" readingOrder="0" vertical="bottom"/>
    </xf>
    <xf borderId="0" fillId="7" fontId="1" numFmtId="0" xfId="0" applyAlignment="1" applyFont="1">
      <alignment horizontal="left" vertical="bottom"/>
    </xf>
    <xf borderId="0" fillId="7" fontId="3" numFmtId="0" xfId="0" applyAlignment="1" applyFont="1">
      <alignment horizontal="right" vertical="bottom"/>
    </xf>
    <xf borderId="0" fillId="7" fontId="3" numFmtId="0" xfId="0" applyAlignment="1" applyFont="1">
      <alignment horizontal="right" readingOrder="0" vertical="bottom"/>
    </xf>
    <xf borderId="0" fillId="2" fontId="3" numFmtId="0" xfId="0" applyAlignment="1" applyFont="1">
      <alignment horizontal="right" readingOrder="0" vertical="bottom"/>
    </xf>
    <xf borderId="0" fillId="2" fontId="1" numFmtId="0" xfId="0" applyAlignment="1" applyFont="1">
      <alignment horizontal="left" vertical="bottom"/>
    </xf>
    <xf borderId="0" fillId="2" fontId="5" numFmtId="0" xfId="0" applyAlignment="1" applyFont="1">
      <alignment vertical="bottom"/>
    </xf>
    <xf borderId="0" fillId="2" fontId="1" numFmtId="0" xfId="0" applyAlignment="1" applyFont="1">
      <alignment horizontal="left" vertical="bottom"/>
    </xf>
    <xf borderId="0" fillId="5" fontId="3" numFmtId="0" xfId="0" applyAlignment="1" applyFont="1">
      <alignment readingOrder="0"/>
    </xf>
    <xf quotePrefix="1" borderId="0" fillId="0" fontId="2" numFmtId="0" xfId="0" applyAlignment="1" applyFont="1">
      <alignment horizontal="left" readingOrder="0" vertical="bottom"/>
    </xf>
    <xf borderId="0" fillId="5" fontId="1" numFmtId="0" xfId="0" applyAlignment="1" applyFont="1">
      <alignment horizontal="left" vertical="bottom"/>
    </xf>
    <xf borderId="0" fillId="5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left" readingOrder="0" vertical="bottom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horizontal="right" readingOrder="0" vertical="bottom"/>
    </xf>
    <xf borderId="0" fillId="0" fontId="7" numFmtId="0" xfId="0" applyAlignment="1" applyFont="1">
      <alignment horizontal="left" vertical="bottom"/>
    </xf>
    <xf borderId="0" fillId="2" fontId="10" numFmtId="0" xfId="0" applyAlignment="1" applyFont="1">
      <alignment horizontal="right" readingOrder="0" vertical="bottom"/>
    </xf>
    <xf borderId="0" fillId="3" fontId="7" numFmtId="0" xfId="0" applyAlignment="1" applyFont="1">
      <alignment readingOrder="0"/>
    </xf>
    <xf borderId="0" fillId="0" fontId="11" numFmtId="0" xfId="0" applyAlignment="1" applyFont="1">
      <alignment horizontal="right" readingOrder="0" vertical="bottom"/>
    </xf>
    <xf borderId="0" fillId="0" fontId="12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2" fontId="5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3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2" fontId="13" numFmtId="0" xfId="0" applyAlignment="1" applyFont="1">
      <alignment horizontal="right" vertical="bottom"/>
    </xf>
    <xf borderId="0" fillId="0" fontId="15" numFmtId="0" xfId="0" applyAlignment="1" applyFont="1">
      <alignment readingOrder="0" shrinkToFit="0" wrapText="0"/>
    </xf>
    <xf borderId="0" fillId="3" fontId="15" numFmtId="0" xfId="0" applyAlignment="1" applyFont="1">
      <alignment readingOrder="0" shrinkToFit="0" wrapText="0"/>
    </xf>
    <xf borderId="0" fillId="8" fontId="1" numFmtId="0" xfId="0" applyFill="1" applyFont="1"/>
    <xf borderId="0" fillId="8" fontId="1" numFmtId="0" xfId="0" applyAlignment="1" applyFont="1">
      <alignment readingOrder="0"/>
    </xf>
    <xf borderId="0" fillId="8" fontId="3" numFmtId="0" xfId="0" applyAlignment="1" applyFont="1">
      <alignment readingOrder="0"/>
    </xf>
    <xf borderId="0" fillId="8" fontId="4" numFmtId="0" xfId="0" applyFont="1"/>
    <xf borderId="0" fillId="8" fontId="4" numFmtId="0" xfId="0" applyAlignment="1" applyFont="1">
      <alignment readingOrder="0"/>
    </xf>
    <xf borderId="0" fillId="8" fontId="2" numFmtId="0" xfId="0" applyAlignment="1" applyFont="1">
      <alignment readingOrder="0"/>
    </xf>
    <xf borderId="0" fillId="9" fontId="1" numFmtId="0" xfId="0" applyFill="1" applyFont="1"/>
    <xf borderId="0" fillId="9" fontId="1" numFmtId="0" xfId="0" applyAlignment="1" applyFont="1">
      <alignment readingOrder="0"/>
    </xf>
    <xf borderId="0" fillId="9" fontId="3" numFmtId="0" xfId="0" applyAlignment="1" applyFont="1">
      <alignment readingOrder="0"/>
    </xf>
    <xf borderId="0" fillId="9" fontId="4" numFmtId="0" xfId="0" applyFont="1"/>
    <xf borderId="0" fillId="9" fontId="4" numFmtId="0" xfId="0" applyAlignment="1" applyFont="1">
      <alignment readingOrder="0"/>
    </xf>
    <xf borderId="1" fillId="0" fontId="16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16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0" fillId="10" fontId="1" numFmtId="0" xfId="0" applyAlignment="1" applyFill="1" applyFont="1">
      <alignment horizontal="left" vertical="bottom"/>
    </xf>
    <xf borderId="1" fillId="10" fontId="16" numFmtId="0" xfId="0" applyAlignment="1" applyBorder="1" applyFont="1">
      <alignment horizontal="left" readingOrder="0"/>
    </xf>
    <xf borderId="1" fillId="10" fontId="16" numFmtId="0" xfId="0" applyAlignment="1" applyBorder="1" applyFont="1">
      <alignment horizontal="right" readingOrder="0"/>
    </xf>
    <xf borderId="1" fillId="0" fontId="17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0" fillId="0" fontId="13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8" numFmtId="0" xfId="0" applyFont="1"/>
    <xf borderId="0" fillId="0" fontId="18" numFmtId="0" xfId="0" applyAlignment="1" applyFont="1">
      <alignment readingOrder="0"/>
    </xf>
    <xf borderId="0" fillId="2" fontId="18" numFmtId="0" xfId="0" applyFont="1"/>
    <xf borderId="0" fillId="11" fontId="1" numFmtId="0" xfId="0" applyFill="1" applyFont="1"/>
    <xf quotePrefix="1" borderId="0" fillId="11" fontId="1" numFmtId="0" xfId="0" applyAlignment="1" applyFont="1">
      <alignment readingOrder="0"/>
    </xf>
    <xf borderId="0" fillId="12" fontId="1" numFmtId="0" xfId="0" applyFill="1" applyFont="1"/>
    <xf borderId="0" fillId="12" fontId="1" numFmtId="0" xfId="0" applyAlignment="1" applyFont="1">
      <alignment readingOrder="0"/>
    </xf>
    <xf borderId="0" fillId="12" fontId="3" numFmtId="0" xfId="0" applyAlignment="1" applyFont="1">
      <alignment readingOrder="0"/>
    </xf>
    <xf borderId="0" fillId="12" fontId="4" numFmtId="0" xfId="0" applyAlignment="1" applyFont="1">
      <alignment readingOrder="0"/>
    </xf>
    <xf borderId="0" fillId="12" fontId="4" numFmtId="0" xfId="0" applyFont="1"/>
    <xf borderId="0" fillId="0" fontId="19" numFmtId="0" xfId="0" applyAlignment="1" applyFont="1">
      <alignment horizontal="center" readingOrder="0"/>
    </xf>
    <xf borderId="2" fillId="0" fontId="19" numFmtId="0" xfId="0" applyAlignment="1" applyBorder="1" applyFont="1">
      <alignment horizontal="center" readingOrder="0"/>
    </xf>
    <xf borderId="2" fillId="0" fontId="19" numFmtId="0" xfId="0" applyAlignment="1" applyBorder="1" applyFont="1">
      <alignment horizontal="right" readingOrder="0"/>
    </xf>
    <xf borderId="2" fillId="0" fontId="20" numFmtId="0" xfId="0" applyAlignment="1" applyBorder="1" applyFont="1">
      <alignment horizontal="center" readingOrder="0"/>
    </xf>
    <xf borderId="2" fillId="13" fontId="20" numFmtId="0" xfId="0" applyAlignment="1" applyBorder="1" applyFill="1" applyFont="1">
      <alignment horizontal="center" readingOrder="0"/>
    </xf>
    <xf borderId="2" fillId="13" fontId="19" numFmtId="0" xfId="0" applyAlignment="1" applyBorder="1" applyFont="1">
      <alignment horizontal="center" readingOrder="0"/>
    </xf>
    <xf borderId="0" fillId="13" fontId="1" numFmtId="0" xfId="0" applyFont="1"/>
    <xf borderId="0" fillId="0" fontId="21" numFmtId="0" xfId="0" applyAlignment="1" applyFont="1">
      <alignment horizontal="center" readingOrder="0"/>
    </xf>
    <xf borderId="0" fillId="13" fontId="4" numFmtId="0" xfId="0" applyFont="1"/>
    <xf borderId="0" fillId="0" fontId="22" numFmtId="0" xfId="0" applyAlignment="1" applyFont="1">
      <alignment horizontal="left" readingOrder="0"/>
    </xf>
    <xf borderId="0" fillId="0" fontId="1" numFmtId="0" xfId="0" applyAlignment="1" applyFont="1">
      <alignment horizontal="left" vertical="bottom"/>
    </xf>
    <xf borderId="0" fillId="0" fontId="23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Font="1"/>
    <xf quotePrefix="1" borderId="0" fillId="0" fontId="1" numFmtId="0" xfId="0" applyFont="1"/>
    <xf borderId="0" fillId="13" fontId="2" numFmtId="0" xfId="0" applyAlignment="1" applyFont="1">
      <alignment horizontal="right" readingOrder="0" vertical="bottom"/>
    </xf>
    <xf borderId="0" fillId="14" fontId="24" numFmtId="0" xfId="0" applyAlignment="1" applyFill="1" applyFont="1">
      <alignment horizontal="center" readingOrder="0"/>
    </xf>
    <xf borderId="0" fillId="15" fontId="25" numFmtId="0" xfId="0" applyAlignment="1" applyFill="1" applyFont="1">
      <alignment horizontal="center" readingOrder="0"/>
    </xf>
    <xf borderId="0" fillId="15" fontId="26" numFmtId="10" xfId="0" applyAlignment="1" applyFont="1" applyNumberFormat="1">
      <alignment horizontal="center" readingOrder="0"/>
    </xf>
    <xf borderId="0" fillId="15" fontId="26" numFmtId="0" xfId="0" applyAlignment="1" applyFont="1">
      <alignment horizontal="center" readingOrder="0"/>
    </xf>
    <xf borderId="0" fillId="15" fontId="1" numFmtId="0" xfId="0" applyAlignment="1" applyFont="1">
      <alignment horizontal="left" vertical="bottom"/>
    </xf>
    <xf borderId="0" fillId="16" fontId="25" numFmtId="0" xfId="0" applyAlignment="1" applyFill="1" applyFont="1">
      <alignment horizontal="center" readingOrder="0"/>
    </xf>
    <xf borderId="0" fillId="3" fontId="1" numFmtId="0" xfId="0" applyAlignment="1" applyFont="1">
      <alignment horizontal="left" vertical="bottom"/>
    </xf>
    <xf borderId="0" fillId="17" fontId="26" numFmtId="0" xfId="0" applyAlignment="1" applyFill="1" applyFont="1">
      <alignment horizontal="center" readingOrder="0"/>
    </xf>
    <xf borderId="0" fillId="18" fontId="26" numFmtId="0" xfId="0" applyAlignment="1" applyFill="1" applyFont="1">
      <alignment horizontal="center" readingOrder="0"/>
    </xf>
    <xf borderId="0" fillId="19" fontId="26" numFmtId="0" xfId="0" applyAlignment="1" applyFill="1" applyFont="1">
      <alignment horizontal="center" readingOrder="0"/>
    </xf>
    <xf borderId="0" fillId="20" fontId="26" numFmtId="0" xfId="0" applyAlignment="1" applyFill="1" applyFont="1">
      <alignment horizontal="center" readingOrder="0"/>
    </xf>
    <xf borderId="0" fillId="21" fontId="26" numFmtId="0" xfId="0" applyAlignment="1" applyFill="1" applyFont="1">
      <alignment horizontal="center" readingOrder="0"/>
    </xf>
    <xf borderId="0" fillId="22" fontId="25" numFmtId="0" xfId="0" applyAlignment="1" applyFill="1" applyFont="1">
      <alignment horizontal="center" readingOrder="0"/>
    </xf>
    <xf borderId="0" fillId="23" fontId="26" numFmtId="0" xfId="0" applyAlignment="1" applyFill="1" applyFont="1">
      <alignment horizontal="center" readingOrder="0"/>
    </xf>
    <xf borderId="0" fillId="24" fontId="27" numFmtId="0" xfId="0" applyAlignment="1" applyFill="1" applyFont="1">
      <alignment horizontal="center" readingOrder="0"/>
    </xf>
    <xf borderId="0" fillId="25" fontId="27" numFmtId="0" xfId="0" applyAlignment="1" applyFill="1" applyFont="1">
      <alignment horizontal="center" readingOrder="0"/>
    </xf>
    <xf borderId="0" fillId="26" fontId="27" numFmtId="0" xfId="0" applyAlignment="1" applyFill="1" applyFont="1">
      <alignment horizontal="center" readingOrder="0"/>
    </xf>
    <xf borderId="0" fillId="27" fontId="27" numFmtId="0" xfId="0" applyAlignment="1" applyFill="1" applyFont="1">
      <alignment horizontal="center" readingOrder="0"/>
    </xf>
    <xf borderId="0" fillId="28" fontId="27" numFmtId="0" xfId="0" applyAlignment="1" applyFill="1" applyFont="1">
      <alignment horizontal="center" readingOrder="0"/>
    </xf>
    <xf borderId="0" fillId="29" fontId="26" numFmtId="0" xfId="0" applyAlignment="1" applyFill="1" applyFont="1">
      <alignment horizontal="center" readingOrder="0"/>
    </xf>
    <xf borderId="0" fillId="30" fontId="26" numFmtId="0" xfId="0" applyAlignment="1" applyFill="1" applyFont="1">
      <alignment horizontal="center" readingOrder="0"/>
    </xf>
    <xf borderId="0" fillId="31" fontId="26" numFmtId="0" xfId="0" applyAlignment="1" applyFill="1" applyFont="1">
      <alignment horizontal="center" readingOrder="0"/>
    </xf>
    <xf borderId="0" fillId="32" fontId="26" numFmtId="0" xfId="0" applyAlignment="1" applyFill="1" applyFont="1">
      <alignment horizontal="center" readingOrder="0"/>
    </xf>
    <xf borderId="0" fillId="33" fontId="26" numFmtId="0" xfId="0" applyAlignment="1" applyFill="1" applyFont="1">
      <alignment horizontal="center" readingOrder="0"/>
    </xf>
    <xf borderId="0" fillId="34" fontId="25" numFmtId="0" xfId="0" applyAlignment="1" applyFill="1" applyFont="1">
      <alignment horizontal="center" readingOrder="0"/>
    </xf>
    <xf borderId="0" fillId="35" fontId="26" numFmtId="0" xfId="0" applyAlignment="1" applyFill="1" applyFont="1">
      <alignment horizontal="center" readingOrder="0"/>
    </xf>
    <xf borderId="0" fillId="36" fontId="27" numFmtId="0" xfId="0" applyAlignment="1" applyFill="1" applyFont="1">
      <alignment horizontal="center" readingOrder="0"/>
    </xf>
    <xf borderId="0" fillId="37" fontId="27" numFmtId="0" xfId="0" applyAlignment="1" applyFill="1" applyFont="1">
      <alignment horizontal="center" readingOrder="0"/>
    </xf>
    <xf borderId="0" fillId="38" fontId="27" numFmtId="0" xfId="0" applyAlignment="1" applyFill="1" applyFont="1">
      <alignment horizontal="center" readingOrder="0"/>
    </xf>
    <xf borderId="0" fillId="39" fontId="27" numFmtId="0" xfId="0" applyAlignment="1" applyFill="1" applyFont="1">
      <alignment horizontal="center" readingOrder="0"/>
    </xf>
    <xf borderId="0" fillId="40" fontId="26" numFmtId="0" xfId="0" applyAlignment="1" applyFill="1" applyFont="1">
      <alignment horizontal="center" readingOrder="0"/>
    </xf>
    <xf borderId="0" fillId="41" fontId="26" numFmtId="0" xfId="0" applyAlignment="1" applyFill="1" applyFont="1">
      <alignment horizontal="center" readingOrder="0"/>
    </xf>
    <xf borderId="0" fillId="42" fontId="26" numFmtId="0" xfId="0" applyAlignment="1" applyFill="1" applyFont="1">
      <alignment horizontal="center" readingOrder="0"/>
    </xf>
    <xf borderId="0" fillId="43" fontId="26" numFmtId="0" xfId="0" applyAlignment="1" applyFill="1" applyFont="1">
      <alignment horizontal="center" readingOrder="0"/>
    </xf>
    <xf borderId="0" fillId="44" fontId="26" numFmtId="0" xfId="0" applyAlignment="1" applyFill="1" applyFont="1">
      <alignment horizontal="center" readingOrder="0"/>
    </xf>
    <xf borderId="0" fillId="45" fontId="25" numFmtId="0" xfId="0" applyAlignment="1" applyFill="1" applyFont="1">
      <alignment horizontal="center" readingOrder="0"/>
    </xf>
    <xf borderId="0" fillId="46" fontId="26" numFmtId="0" xfId="0" applyAlignment="1" applyFill="1" applyFont="1">
      <alignment horizontal="center" readingOrder="0"/>
    </xf>
    <xf borderId="0" fillId="47" fontId="27" numFmtId="0" xfId="0" applyAlignment="1" applyFill="1" applyFont="1">
      <alignment horizontal="center" readingOrder="0"/>
    </xf>
    <xf borderId="0" fillId="48" fontId="27" numFmtId="0" xfId="0" applyAlignment="1" applyFill="1" applyFont="1">
      <alignment horizontal="center" readingOrder="0"/>
    </xf>
    <xf borderId="0" fillId="49" fontId="27" numFmtId="0" xfId="0" applyAlignment="1" applyFill="1" applyFont="1">
      <alignment horizontal="center" readingOrder="0"/>
    </xf>
    <xf borderId="0" fillId="50" fontId="26" numFmtId="0" xfId="0" applyAlignment="1" applyFill="1" applyFont="1">
      <alignment horizontal="center" readingOrder="0"/>
    </xf>
    <xf borderId="0" fillId="51" fontId="26" numFmtId="0" xfId="0" applyAlignment="1" applyFill="1" applyFont="1">
      <alignment horizontal="center" readingOrder="0"/>
    </xf>
    <xf borderId="0" fillId="52" fontId="26" numFmtId="0" xfId="0" applyAlignment="1" applyFill="1" applyFont="1">
      <alignment horizontal="center" readingOrder="0"/>
    </xf>
    <xf borderId="0" fillId="53" fontId="26" numFmtId="0" xfId="0" applyAlignment="1" applyFill="1" applyFont="1">
      <alignment horizontal="center" readingOrder="0"/>
    </xf>
    <xf borderId="0" fillId="54" fontId="26" numFmtId="0" xfId="0" applyAlignment="1" applyFill="1" applyFont="1">
      <alignment horizontal="center" readingOrder="0"/>
    </xf>
    <xf borderId="0" fillId="55" fontId="25" numFmtId="0" xfId="0" applyAlignment="1" applyFill="1" applyFont="1">
      <alignment horizontal="center" readingOrder="0"/>
    </xf>
    <xf borderId="0" fillId="56" fontId="26" numFmtId="0" xfId="0" applyAlignment="1" applyFill="1" applyFont="1">
      <alignment horizontal="center" readingOrder="0"/>
    </xf>
    <xf borderId="0" fillId="51" fontId="27" numFmtId="0" xfId="0" applyAlignment="1" applyFont="1">
      <alignment horizontal="center" readingOrder="0"/>
    </xf>
    <xf borderId="0" fillId="57" fontId="27" numFmtId="0" xfId="0" applyAlignment="1" applyFill="1" applyFont="1">
      <alignment horizontal="center" readingOrder="0"/>
    </xf>
    <xf borderId="0" fillId="58" fontId="27" numFmtId="0" xfId="0" applyAlignment="1" applyFill="1" applyFont="1">
      <alignment horizontal="center" readingOrder="0"/>
    </xf>
    <xf borderId="0" fillId="59" fontId="26" numFmtId="0" xfId="0" applyAlignment="1" applyFill="1" applyFont="1">
      <alignment horizontal="center" readingOrder="0"/>
    </xf>
    <xf borderId="0" fillId="60" fontId="26" numFmtId="0" xfId="0" applyAlignment="1" applyFill="1" applyFont="1">
      <alignment horizontal="center" readingOrder="0"/>
    </xf>
    <xf borderId="0" fillId="61" fontId="26" numFmtId="0" xfId="0" applyAlignment="1" applyFill="1" applyFont="1">
      <alignment horizontal="center" readingOrder="0"/>
    </xf>
    <xf borderId="0" fillId="62" fontId="26" numFmtId="0" xfId="0" applyAlignment="1" applyFill="1" applyFont="1">
      <alignment horizontal="center" readingOrder="0"/>
    </xf>
    <xf borderId="0" fillId="63" fontId="25" numFmtId="0" xfId="0" applyAlignment="1" applyFill="1" applyFont="1">
      <alignment horizontal="center" readingOrder="0"/>
    </xf>
    <xf borderId="0" fillId="64" fontId="26" numFmtId="0" xfId="0" applyAlignment="1" applyFill="1" applyFont="1">
      <alignment horizontal="center" readingOrder="0"/>
    </xf>
    <xf borderId="0" fillId="65" fontId="27" numFmtId="0" xfId="0" applyAlignment="1" applyFill="1" applyFont="1">
      <alignment horizontal="center" readingOrder="0"/>
    </xf>
    <xf borderId="0" fillId="66" fontId="27" numFmtId="0" xfId="0" applyAlignment="1" applyFill="1" applyFont="1">
      <alignment horizontal="center" readingOrder="0"/>
    </xf>
    <xf borderId="0" fillId="67" fontId="27" numFmtId="0" xfId="0" applyAlignment="1" applyFill="1" applyFont="1">
      <alignment horizontal="center" readingOrder="0"/>
    </xf>
    <xf borderId="0" fillId="68" fontId="26" numFmtId="0" xfId="0" applyAlignment="1" applyFill="1" applyFont="1">
      <alignment horizontal="center" readingOrder="0"/>
    </xf>
    <xf borderId="0" fillId="69" fontId="26" numFmtId="0" xfId="0" applyAlignment="1" applyFill="1" applyFont="1">
      <alignment horizontal="center" readingOrder="0"/>
    </xf>
    <xf borderId="0" fillId="70" fontId="26" numFmtId="0" xfId="0" applyAlignment="1" applyFill="1" applyFont="1">
      <alignment horizontal="center" readingOrder="0"/>
    </xf>
    <xf borderId="0" fillId="71" fontId="26" numFmtId="0" xfId="0" applyAlignment="1" applyFill="1" applyFont="1">
      <alignment horizontal="center" readingOrder="0"/>
    </xf>
    <xf borderId="0" fillId="64" fontId="25" numFmtId="0" xfId="0" applyAlignment="1" applyFont="1">
      <alignment horizontal="center" readingOrder="0"/>
    </xf>
    <xf borderId="0" fillId="72" fontId="26" numFmtId="0" xfId="0" applyAlignment="1" applyFill="1" applyFont="1">
      <alignment horizontal="center" readingOrder="0"/>
    </xf>
    <xf borderId="0" fillId="73" fontId="27" numFmtId="0" xfId="0" applyAlignment="1" applyFill="1" applyFont="1">
      <alignment horizontal="center" readingOrder="0"/>
    </xf>
    <xf borderId="0" fillId="74" fontId="27" numFmtId="0" xfId="0" applyAlignment="1" applyFill="1" applyFont="1">
      <alignment horizontal="center" readingOrder="0"/>
    </xf>
    <xf borderId="0" fillId="75" fontId="27" numFmtId="0" xfId="0" applyAlignment="1" applyFill="1" applyFont="1">
      <alignment horizontal="center" readingOrder="0"/>
    </xf>
    <xf borderId="0" fillId="76" fontId="26" numFmtId="0" xfId="0" applyAlignment="1" applyFill="1" applyFont="1">
      <alignment horizontal="center" readingOrder="0"/>
    </xf>
    <xf borderId="0" fillId="77" fontId="26" numFmtId="0" xfId="0" applyAlignment="1" applyFill="1" applyFont="1">
      <alignment horizontal="center" readingOrder="0"/>
    </xf>
    <xf borderId="0" fillId="78" fontId="26" numFmtId="0" xfId="0" applyAlignment="1" applyFill="1" applyFont="1">
      <alignment horizontal="center" readingOrder="0"/>
    </xf>
    <xf borderId="0" fillId="79" fontId="26" numFmtId="0" xfId="0" applyAlignment="1" applyFill="1" applyFont="1">
      <alignment horizontal="center" readingOrder="0"/>
    </xf>
    <xf borderId="0" fillId="80" fontId="26" numFmtId="0" xfId="0" applyAlignment="1" applyFill="1" applyFont="1">
      <alignment horizontal="center" readingOrder="0"/>
    </xf>
    <xf borderId="0" fillId="81" fontId="25" numFmtId="0" xfId="0" applyAlignment="1" applyFill="1" applyFont="1">
      <alignment horizontal="center" readingOrder="0"/>
    </xf>
    <xf borderId="0" fillId="82" fontId="26" numFmtId="0" xfId="0" applyAlignment="1" applyFill="1" applyFont="1">
      <alignment horizontal="center" readingOrder="0"/>
    </xf>
    <xf borderId="0" fillId="55" fontId="27" numFmtId="0" xfId="0" applyAlignment="1" applyFont="1">
      <alignment horizontal="center" readingOrder="0"/>
    </xf>
    <xf borderId="0" fillId="83" fontId="27" numFmtId="0" xfId="0" applyAlignment="1" applyFill="1" applyFont="1">
      <alignment horizontal="center" readingOrder="0"/>
    </xf>
    <xf borderId="0" fillId="84" fontId="27" numFmtId="0" xfId="0" applyAlignment="1" applyFill="1" applyFont="1">
      <alignment horizontal="center" readingOrder="0"/>
    </xf>
    <xf borderId="0" fillId="85" fontId="27" numFmtId="0" xfId="0" applyAlignment="1" applyFill="1" applyFont="1">
      <alignment horizontal="center" readingOrder="0"/>
    </xf>
    <xf borderId="0" fillId="86" fontId="26" numFmtId="0" xfId="0" applyAlignment="1" applyFill="1" applyFont="1">
      <alignment horizontal="center" readingOrder="0"/>
    </xf>
    <xf borderId="0" fillId="38" fontId="26" numFmtId="0" xfId="0" applyAlignment="1" applyFont="1">
      <alignment horizontal="center" readingOrder="0"/>
    </xf>
    <xf borderId="0" fillId="87" fontId="26" numFmtId="0" xfId="0" applyAlignment="1" applyFill="1" applyFont="1">
      <alignment horizontal="center" readingOrder="0"/>
    </xf>
    <xf borderId="0" fillId="88" fontId="26" numFmtId="0" xfId="0" applyAlignment="1" applyFill="1" applyFont="1">
      <alignment horizontal="center" readingOrder="0"/>
    </xf>
    <xf borderId="0" fillId="24" fontId="26" numFmtId="0" xfId="0" applyAlignment="1" applyFont="1">
      <alignment horizontal="center" readingOrder="0"/>
    </xf>
    <xf borderId="0" fillId="89" fontId="25" numFmtId="0" xfId="0" applyAlignment="1" applyFill="1" applyFont="1">
      <alignment horizontal="center" readingOrder="0"/>
    </xf>
    <xf borderId="0" fillId="90" fontId="27" numFmtId="0" xfId="0" applyAlignment="1" applyFill="1" applyFont="1">
      <alignment horizontal="center" readingOrder="0"/>
    </xf>
    <xf borderId="0" fillId="91" fontId="27" numFmtId="0" xfId="0" applyAlignment="1" applyFill="1" applyFont="1">
      <alignment horizontal="center" readingOrder="0"/>
    </xf>
    <xf borderId="0" fillId="92" fontId="26" numFmtId="0" xfId="0" applyAlignment="1" applyFill="1" applyFont="1">
      <alignment horizontal="center" readingOrder="0"/>
    </xf>
    <xf borderId="0" fillId="93" fontId="26" numFmtId="0" xfId="0" applyAlignment="1" applyFill="1" applyFont="1">
      <alignment horizontal="center" readingOrder="0"/>
    </xf>
    <xf borderId="0" fillId="94" fontId="26" numFmtId="0" xfId="0" applyAlignment="1" applyFill="1" applyFont="1">
      <alignment horizontal="center" readingOrder="0"/>
    </xf>
    <xf borderId="0" fillId="95" fontId="26" numFmtId="0" xfId="0" applyAlignment="1" applyFill="1" applyFont="1">
      <alignment horizontal="center" readingOrder="0"/>
    </xf>
    <xf borderId="0" fillId="96" fontId="25" numFmtId="0" xfId="0" applyAlignment="1" applyFill="1" applyFont="1">
      <alignment horizontal="center" readingOrder="0"/>
    </xf>
    <xf borderId="0" fillId="97" fontId="27" numFmtId="0" xfId="0" applyAlignment="1" applyFill="1" applyFont="1">
      <alignment horizontal="center" readingOrder="0"/>
    </xf>
    <xf borderId="0" fillId="98" fontId="27" numFmtId="0" xfId="0" applyAlignment="1" applyFill="1" applyFont="1">
      <alignment horizontal="center" readingOrder="0"/>
    </xf>
    <xf borderId="0" fillId="92" fontId="27" numFmtId="0" xfId="0" applyAlignment="1" applyFont="1">
      <alignment horizontal="center" readingOrder="0"/>
    </xf>
    <xf borderId="0" fillId="99" fontId="27" numFmtId="0" xfId="0" applyAlignment="1" applyFill="1" applyFont="1">
      <alignment horizontal="center" readingOrder="0"/>
    </xf>
    <xf borderId="0" fillId="100" fontId="26" numFmtId="0" xfId="0" applyAlignment="1" applyFill="1" applyFont="1">
      <alignment horizontal="center" readingOrder="0"/>
    </xf>
    <xf borderId="0" fillId="101" fontId="27" numFmtId="0" xfId="0" applyAlignment="1" applyFill="1" applyFont="1">
      <alignment horizontal="center" readingOrder="0"/>
    </xf>
    <xf borderId="0" fillId="100" fontId="25" numFmtId="0" xfId="0" applyAlignment="1" applyFont="1">
      <alignment horizontal="center" readingOrder="0"/>
    </xf>
    <xf borderId="0" fillId="102" fontId="26" numFmtId="0" xfId="0" applyAlignment="1" applyFill="1" applyFont="1">
      <alignment horizontal="center" readingOrder="0"/>
    </xf>
    <xf borderId="0" fillId="103" fontId="27" numFmtId="0" xfId="0" applyAlignment="1" applyFill="1" applyFont="1">
      <alignment horizontal="center" readingOrder="0"/>
    </xf>
    <xf borderId="0" fillId="104" fontId="27" numFmtId="0" xfId="0" applyAlignment="1" applyFill="1" applyFont="1">
      <alignment horizontal="center" readingOrder="0"/>
    </xf>
    <xf borderId="0" fillId="105" fontId="26" numFmtId="0" xfId="0" applyAlignment="1" applyFill="1" applyFont="1">
      <alignment horizontal="center" readingOrder="0"/>
    </xf>
    <xf borderId="0" fillId="106" fontId="26" numFmtId="0" xfId="0" applyAlignment="1" applyFill="1" applyFont="1">
      <alignment horizontal="center" readingOrder="0"/>
    </xf>
    <xf borderId="0" fillId="107" fontId="26" numFmtId="0" xfId="0" applyAlignment="1" applyFill="1" applyFont="1">
      <alignment horizontal="center" readingOrder="0"/>
    </xf>
    <xf borderId="0" fillId="108" fontId="26" numFmtId="0" xfId="0" applyAlignment="1" applyFill="1" applyFont="1">
      <alignment horizontal="center" readingOrder="0"/>
    </xf>
    <xf borderId="0" fillId="109" fontId="26" numFmtId="0" xfId="0" applyAlignment="1" applyFill="1" applyFont="1">
      <alignment horizontal="center" readingOrder="0"/>
    </xf>
    <xf borderId="0" fillId="110" fontId="26" numFmtId="0" xfId="0" applyAlignment="1" applyFill="1" applyFont="1">
      <alignment horizontal="center" readingOrder="0"/>
    </xf>
    <xf borderId="0" fillId="111" fontId="27" numFmtId="0" xfId="0" applyAlignment="1" applyFill="1" applyFont="1">
      <alignment horizontal="center" readingOrder="0"/>
    </xf>
    <xf borderId="0" fillId="112" fontId="27" numFmtId="0" xfId="0" applyAlignment="1" applyFill="1" applyFont="1">
      <alignment horizontal="center" readingOrder="0"/>
    </xf>
    <xf borderId="0" fillId="113" fontId="27" numFmtId="0" xfId="0" applyAlignment="1" applyFill="1" applyFont="1">
      <alignment horizontal="center" readingOrder="0"/>
    </xf>
    <xf borderId="0" fillId="101" fontId="2" numFmtId="0" xfId="0" applyAlignment="1" applyFont="1">
      <alignment horizontal="center" readingOrder="0"/>
    </xf>
    <xf borderId="0" fillId="114" fontId="26" numFmtId="0" xfId="0" applyAlignment="1" applyFill="1" applyFont="1">
      <alignment horizontal="center" readingOrder="0"/>
    </xf>
    <xf borderId="0" fillId="115" fontId="26" numFmtId="0" xfId="0" applyAlignment="1" applyFill="1" applyFont="1">
      <alignment horizontal="center" readingOrder="0"/>
    </xf>
    <xf borderId="0" fillId="116" fontId="26" numFmtId="0" xfId="0" applyAlignment="1" applyFill="1" applyFont="1">
      <alignment horizontal="center" readingOrder="0"/>
    </xf>
    <xf borderId="0" fillId="117" fontId="26" numFmtId="0" xfId="0" applyAlignment="1" applyFill="1" applyFont="1">
      <alignment horizontal="center" readingOrder="0"/>
    </xf>
    <xf borderId="0" fillId="118" fontId="26" numFmtId="0" xfId="0" applyAlignment="1" applyFill="1" applyFont="1">
      <alignment horizontal="center" readingOrder="0"/>
    </xf>
    <xf borderId="0" fillId="19" fontId="25" numFmtId="0" xfId="0" applyAlignment="1" applyFont="1">
      <alignment horizontal="center" readingOrder="0"/>
    </xf>
    <xf borderId="0" fillId="119" fontId="26" numFmtId="0" xfId="0" applyAlignment="1" applyFill="1" applyFont="1">
      <alignment horizontal="center" readingOrder="0"/>
    </xf>
    <xf borderId="0" fillId="120" fontId="27" numFmtId="0" xfId="0" applyAlignment="1" applyFill="1" applyFont="1">
      <alignment horizontal="center" readingOrder="0"/>
    </xf>
    <xf borderId="0" fillId="93" fontId="27" numFmtId="0" xfId="0" applyAlignment="1" applyFont="1">
      <alignment horizontal="center" readingOrder="0"/>
    </xf>
    <xf borderId="0" fillId="121" fontId="27" numFmtId="0" xfId="0" applyAlignment="1" applyFill="1" applyFont="1">
      <alignment horizontal="center" readingOrder="0"/>
    </xf>
    <xf borderId="0" fillId="122" fontId="27" numFmtId="0" xfId="0" applyAlignment="1" applyFill="1" applyFont="1">
      <alignment horizontal="center" readingOrder="0"/>
    </xf>
    <xf borderId="0" fillId="123" fontId="26" numFmtId="0" xfId="0" applyAlignment="1" applyFill="1" applyFont="1">
      <alignment horizontal="center" readingOrder="0"/>
    </xf>
    <xf borderId="0" fillId="124" fontId="26" numFmtId="0" xfId="0" applyAlignment="1" applyFill="1" applyFont="1">
      <alignment horizontal="center" readingOrder="0"/>
    </xf>
    <xf borderId="0" fillId="125" fontId="26" numFmtId="0" xfId="0" applyAlignment="1" applyFill="1" applyFont="1">
      <alignment horizontal="center" readingOrder="0"/>
    </xf>
    <xf borderId="0" fillId="56" fontId="25" numFmtId="0" xfId="0" applyAlignment="1" applyFont="1">
      <alignment horizontal="center" readingOrder="0"/>
    </xf>
    <xf borderId="0" fillId="126" fontId="26" numFmtId="0" xfId="0" applyAlignment="1" applyFill="1" applyFont="1">
      <alignment horizontal="center" readingOrder="0"/>
    </xf>
    <xf borderId="0" fillId="96" fontId="27" numFmtId="0" xfId="0" applyAlignment="1" applyFont="1">
      <alignment horizontal="center" readingOrder="0"/>
    </xf>
    <xf borderId="0" fillId="127" fontId="27" numFmtId="0" xfId="0" applyAlignment="1" applyFill="1" applyFont="1">
      <alignment horizontal="center" readingOrder="0"/>
    </xf>
    <xf borderId="0" fillId="128" fontId="27" numFmtId="0" xfId="0" applyAlignment="1" applyFill="1" applyFont="1">
      <alignment horizontal="center" readingOrder="0"/>
    </xf>
    <xf borderId="0" fillId="129" fontId="27" numFmtId="0" xfId="0" applyAlignment="1" applyFill="1" applyFont="1">
      <alignment horizontal="center" readingOrder="0"/>
    </xf>
    <xf borderId="0" fillId="90" fontId="26" numFmtId="0" xfId="0" applyAlignment="1" applyFont="1">
      <alignment horizontal="center" readingOrder="0"/>
    </xf>
    <xf borderId="0" fillId="112" fontId="26" numFmtId="0" xfId="0" applyAlignment="1" applyFont="1">
      <alignment horizontal="center" readingOrder="0"/>
    </xf>
    <xf borderId="0" fillId="130" fontId="26" numFmtId="0" xfId="0" applyAlignment="1" applyFill="1" applyFont="1">
      <alignment horizontal="center" readingOrder="0"/>
    </xf>
    <xf borderId="0" fillId="131" fontId="26" numFmtId="0" xfId="0" applyAlignment="1" applyFill="1" applyFont="1">
      <alignment horizontal="center" readingOrder="0"/>
    </xf>
    <xf borderId="0" fillId="44" fontId="25" numFmtId="0" xfId="0" applyAlignment="1" applyFont="1">
      <alignment horizontal="center" readingOrder="0"/>
    </xf>
    <xf borderId="0" fillId="72" fontId="27" numFmtId="0" xfId="0" applyAlignment="1" applyFont="1">
      <alignment horizontal="center" readingOrder="0"/>
    </xf>
    <xf borderId="0" fillId="132" fontId="27" numFmtId="0" xfId="0" applyAlignment="1" applyFill="1" applyFont="1">
      <alignment horizontal="center" readingOrder="0"/>
    </xf>
    <xf borderId="0" fillId="133" fontId="27" numFmtId="0" xfId="0" applyAlignment="1" applyFill="1" applyFont="1">
      <alignment horizontal="center" readingOrder="0"/>
    </xf>
    <xf borderId="0" fillId="134" fontId="27" numFmtId="0" xfId="0" applyAlignment="1" applyFill="1" applyFont="1">
      <alignment horizontal="center" readingOrder="0"/>
    </xf>
    <xf borderId="0" fillId="135" fontId="26" numFmtId="0" xfId="0" applyAlignment="1" applyFill="1" applyFont="1">
      <alignment horizontal="center" readingOrder="0"/>
    </xf>
    <xf borderId="0" fillId="136" fontId="26" numFmtId="0" xfId="0" applyAlignment="1" applyFill="1" applyFont="1">
      <alignment horizontal="center" readingOrder="0"/>
    </xf>
    <xf borderId="0" fillId="137" fontId="26" numFmtId="0" xfId="0" applyAlignment="1" applyFill="1" applyFont="1">
      <alignment horizontal="center" readingOrder="0"/>
    </xf>
    <xf borderId="0" fillId="138" fontId="26" numFmtId="0" xfId="0" applyAlignment="1" applyFill="1" applyFont="1">
      <alignment horizontal="center" readingOrder="0"/>
    </xf>
    <xf borderId="0" fillId="139" fontId="25" numFmtId="0" xfId="0" applyAlignment="1" applyFill="1" applyFont="1">
      <alignment horizontal="center" readingOrder="0"/>
    </xf>
    <xf borderId="0" fillId="140" fontId="26" numFmtId="0" xfId="0" applyAlignment="1" applyFill="1" applyFont="1">
      <alignment horizontal="center" readingOrder="0"/>
    </xf>
    <xf borderId="0" fillId="141" fontId="27" numFmtId="0" xfId="0" applyAlignment="1" applyFill="1" applyFont="1">
      <alignment horizontal="center" readingOrder="0"/>
    </xf>
    <xf borderId="0" fillId="142" fontId="27" numFmtId="0" xfId="0" applyAlignment="1" applyFill="1" applyFont="1">
      <alignment horizontal="center" readingOrder="0"/>
    </xf>
    <xf borderId="0" fillId="143" fontId="27" numFmtId="0" xfId="0" applyAlignment="1" applyFill="1" applyFont="1">
      <alignment horizontal="center" readingOrder="0"/>
    </xf>
    <xf borderId="0" fillId="144" fontId="26" numFmtId="0" xfId="0" applyAlignment="1" applyFill="1" applyFont="1">
      <alignment horizontal="center" readingOrder="0"/>
    </xf>
    <xf borderId="0" fillId="145" fontId="26" numFmtId="0" xfId="0" applyAlignment="1" applyFill="1" applyFont="1">
      <alignment horizontal="center" readingOrder="0"/>
    </xf>
    <xf borderId="0" fillId="146" fontId="26" numFmtId="0" xfId="0" applyAlignment="1" applyFill="1" applyFont="1">
      <alignment horizontal="center" readingOrder="0"/>
    </xf>
    <xf borderId="0" fillId="147" fontId="26" numFmtId="0" xfId="0" applyAlignment="1" applyFill="1" applyFont="1">
      <alignment horizontal="center" readingOrder="0"/>
    </xf>
    <xf borderId="0" fillId="148" fontId="26" numFmtId="0" xfId="0" applyAlignment="1" applyFill="1" applyFont="1">
      <alignment horizontal="center" readingOrder="0"/>
    </xf>
    <xf borderId="0" fillId="149" fontId="25" numFmtId="0" xfId="0" applyAlignment="1" applyFill="1" applyFont="1">
      <alignment horizontal="center" readingOrder="0"/>
    </xf>
    <xf borderId="0" fillId="150" fontId="26" numFmtId="0" xfId="0" applyAlignment="1" applyFill="1" applyFont="1">
      <alignment horizontal="center" readingOrder="0"/>
    </xf>
    <xf borderId="0" fillId="151" fontId="27" numFmtId="0" xfId="0" applyAlignment="1" applyFill="1" applyFont="1">
      <alignment horizontal="center" readingOrder="0"/>
    </xf>
    <xf borderId="0" fillId="152" fontId="27" numFmtId="0" xfId="0" applyAlignment="1" applyFill="1" applyFont="1">
      <alignment horizontal="center" readingOrder="0"/>
    </xf>
    <xf borderId="0" fillId="153" fontId="27" numFmtId="0" xfId="0" applyAlignment="1" applyFill="1" applyFont="1">
      <alignment horizontal="center" readingOrder="0"/>
    </xf>
    <xf borderId="0" fillId="154" fontId="26" numFmtId="0" xfId="0" applyAlignment="1" applyFill="1" applyFont="1">
      <alignment horizontal="center" readingOrder="0"/>
    </xf>
    <xf borderId="0" fillId="45" fontId="26" numFmtId="0" xfId="0" applyAlignment="1" applyFont="1">
      <alignment horizontal="center" readingOrder="0"/>
    </xf>
    <xf borderId="0" fillId="155" fontId="26" numFmtId="0" xfId="0" applyAlignment="1" applyFill="1" applyFont="1">
      <alignment horizontal="center" readingOrder="0"/>
    </xf>
    <xf borderId="0" fillId="156" fontId="26" numFmtId="0" xfId="0" applyAlignment="1" applyFill="1" applyFont="1">
      <alignment horizontal="center" readingOrder="0"/>
    </xf>
    <xf borderId="0" fillId="157" fontId="26" numFmtId="0" xfId="0" applyAlignment="1" applyFill="1" applyFont="1">
      <alignment horizontal="center" readingOrder="0"/>
    </xf>
    <xf borderId="0" fillId="158" fontId="26" numFmtId="0" xfId="0" applyAlignment="1" applyFill="1" applyFont="1">
      <alignment horizontal="center" readingOrder="0"/>
    </xf>
    <xf borderId="0" fillId="159" fontId="27" numFmtId="0" xfId="0" applyAlignment="1" applyFill="1" applyFont="1">
      <alignment horizontal="center" readingOrder="0"/>
    </xf>
    <xf borderId="0" fillId="160" fontId="27" numFmtId="0" xfId="0" applyAlignment="1" applyFill="1" applyFont="1">
      <alignment horizontal="center" readingOrder="0"/>
    </xf>
    <xf borderId="0" fillId="161" fontId="27" numFmtId="0" xfId="0" applyAlignment="1" applyFill="1" applyFont="1">
      <alignment horizontal="center" readingOrder="0"/>
    </xf>
    <xf borderId="0" fillId="162" fontId="26" numFmtId="0" xfId="0" applyAlignment="1" applyFill="1" applyFont="1">
      <alignment horizontal="center" readingOrder="0"/>
    </xf>
    <xf borderId="0" fillId="163" fontId="26" numFmtId="0" xfId="0" applyAlignment="1" applyFill="1" applyFont="1">
      <alignment horizontal="center" readingOrder="0"/>
    </xf>
    <xf borderId="0" fillId="164" fontId="27" numFmtId="0" xfId="0" applyAlignment="1" applyFill="1" applyFont="1">
      <alignment horizontal="center" readingOrder="0"/>
    </xf>
    <xf borderId="0" fillId="165" fontId="27" numFmtId="0" xfId="0" applyAlignment="1" applyFill="1" applyFont="1">
      <alignment horizontal="center" readingOrder="0"/>
    </xf>
    <xf borderId="0" fillId="166" fontId="27" numFmtId="0" xfId="0" applyAlignment="1" applyFill="1" applyFont="1">
      <alignment horizontal="center" readingOrder="0"/>
    </xf>
    <xf borderId="0" fillId="36" fontId="26" numFmtId="0" xfId="0" applyAlignment="1" applyFont="1">
      <alignment horizontal="center" readingOrder="0"/>
    </xf>
    <xf borderId="0" fillId="167" fontId="26" numFmtId="0" xfId="0" applyAlignment="1" applyFill="1" applyFont="1">
      <alignment horizontal="center" readingOrder="0"/>
    </xf>
    <xf borderId="0" fillId="161" fontId="26" numFmtId="0" xfId="0" applyAlignment="1" applyFont="1">
      <alignment horizontal="center" readingOrder="0"/>
    </xf>
    <xf borderId="0" fillId="168" fontId="26" numFmtId="0" xfId="0" applyAlignment="1" applyFill="1" applyFont="1">
      <alignment horizontal="center" readingOrder="0"/>
    </xf>
    <xf borderId="0" fillId="169" fontId="25" numFmtId="0" xfId="0" applyAlignment="1" applyFill="1" applyFont="1">
      <alignment horizontal="center" readingOrder="0"/>
    </xf>
    <xf borderId="0" fillId="25" fontId="26" numFmtId="0" xfId="0" applyAlignment="1" applyFont="1">
      <alignment horizontal="center" readingOrder="0"/>
    </xf>
    <xf borderId="0" fillId="170" fontId="27" numFmtId="0" xfId="0" applyAlignment="1" applyFill="1" applyFont="1">
      <alignment horizontal="center" readingOrder="0"/>
    </xf>
    <xf borderId="0" fillId="69" fontId="27" numFmtId="0" xfId="0" applyAlignment="1" applyFont="1">
      <alignment horizontal="center" readingOrder="0"/>
    </xf>
    <xf borderId="0" fillId="171" fontId="27" numFmtId="0" xfId="0" applyAlignment="1" applyFill="1" applyFont="1">
      <alignment horizontal="center" readingOrder="0"/>
    </xf>
    <xf borderId="0" fillId="96" fontId="26" numFmtId="0" xfId="0" applyAlignment="1" applyFont="1">
      <alignment horizontal="center" readingOrder="0"/>
    </xf>
    <xf borderId="0" fillId="153" fontId="26" numFmtId="0" xfId="0" applyAlignment="1" applyFont="1">
      <alignment horizontal="center" readingOrder="0"/>
    </xf>
    <xf borderId="0" fillId="172" fontId="26" numFmtId="0" xfId="0" applyAlignment="1" applyFill="1" applyFont="1">
      <alignment horizontal="center" readingOrder="0"/>
    </xf>
    <xf borderId="0" fillId="173" fontId="26" numFmtId="0" xfId="0" applyAlignment="1" applyFill="1" applyFont="1">
      <alignment horizontal="center" readingOrder="0"/>
    </xf>
    <xf borderId="0" fillId="174" fontId="25" numFmtId="0" xfId="0" applyAlignment="1" applyFill="1" applyFont="1">
      <alignment horizontal="center" readingOrder="0"/>
    </xf>
    <xf borderId="0" fillId="175" fontId="27" numFmtId="0" xfId="0" applyAlignment="1" applyFill="1" applyFont="1">
      <alignment horizontal="center" readingOrder="0"/>
    </xf>
    <xf borderId="0" fillId="176" fontId="27" numFmtId="0" xfId="0" applyAlignment="1" applyFill="1" applyFont="1">
      <alignment horizontal="center" readingOrder="0"/>
    </xf>
    <xf borderId="0" fillId="147" fontId="27" numFmtId="0" xfId="0" applyAlignment="1" applyFont="1">
      <alignment horizontal="center" readingOrder="0"/>
    </xf>
    <xf borderId="0" fillId="177" fontId="26" numFmtId="0" xfId="0" applyAlignment="1" applyFill="1" applyFont="1">
      <alignment horizontal="center" readingOrder="0"/>
    </xf>
    <xf borderId="0" fillId="178" fontId="26" numFmtId="0" xfId="0" applyAlignment="1" applyFill="1" applyFont="1">
      <alignment horizontal="center" readingOrder="0"/>
    </xf>
    <xf borderId="0" fillId="179" fontId="26" numFmtId="0" xfId="0" applyAlignment="1" applyFill="1" applyFont="1">
      <alignment horizontal="center" readingOrder="0"/>
    </xf>
    <xf borderId="0" fillId="180" fontId="26" numFmtId="0" xfId="0" applyAlignment="1" applyFill="1" applyFont="1">
      <alignment horizontal="center" readingOrder="0"/>
    </xf>
    <xf borderId="0" fillId="181" fontId="25" numFmtId="0" xfId="0" applyAlignment="1" applyFill="1" applyFont="1">
      <alignment horizontal="center" readingOrder="0"/>
    </xf>
    <xf borderId="0" fillId="182" fontId="26" numFmtId="0" xfId="0" applyAlignment="1" applyFill="1" applyFont="1">
      <alignment horizontal="center" readingOrder="0"/>
    </xf>
    <xf borderId="0" fillId="183" fontId="27" numFmtId="0" xfId="0" applyAlignment="1" applyFill="1" applyFont="1">
      <alignment horizontal="center" readingOrder="0"/>
    </xf>
    <xf borderId="0" fillId="64" fontId="27" numFmtId="0" xfId="0" applyAlignment="1" applyFont="1">
      <alignment horizontal="center" readingOrder="0"/>
    </xf>
    <xf borderId="0" fillId="184" fontId="26" numFmtId="0" xfId="0" applyAlignment="1" applyFill="1" applyFont="1">
      <alignment horizontal="center" readingOrder="0"/>
    </xf>
    <xf borderId="0" fillId="185" fontId="26" numFmtId="0" xfId="0" applyAlignment="1" applyFill="1" applyFont="1">
      <alignment horizontal="center" readingOrder="0"/>
    </xf>
    <xf borderId="0" fillId="186" fontId="26" numFmtId="0" xfId="0" applyAlignment="1" applyFill="1" applyFont="1">
      <alignment horizontal="center" readingOrder="0"/>
    </xf>
    <xf borderId="0" fillId="187" fontId="25" numFmtId="0" xfId="0" applyAlignment="1" applyFill="1" applyFont="1">
      <alignment horizontal="center" readingOrder="0"/>
    </xf>
    <xf borderId="0" fillId="186" fontId="27" numFmtId="0" xfId="0" applyAlignment="1" applyFont="1">
      <alignment horizontal="center" readingOrder="0"/>
    </xf>
    <xf borderId="0" fillId="94" fontId="27" numFmtId="0" xfId="0" applyAlignment="1" applyFont="1">
      <alignment horizontal="center" readingOrder="0"/>
    </xf>
    <xf borderId="0" fillId="86" fontId="27" numFmtId="0" xfId="0" applyAlignment="1" applyFont="1">
      <alignment horizontal="center" readingOrder="0"/>
    </xf>
    <xf borderId="0" fillId="188" fontId="27" numFmtId="0" xfId="0" applyAlignment="1" applyFill="1" applyFont="1">
      <alignment horizontal="center" readingOrder="0"/>
    </xf>
    <xf borderId="0" fillId="121" fontId="26" numFmtId="0" xfId="0" applyAlignment="1" applyFont="1">
      <alignment horizontal="center" readingOrder="0"/>
    </xf>
    <xf borderId="0" fillId="81" fontId="26" numFmtId="0" xfId="0" applyAlignment="1" applyFont="1">
      <alignment horizontal="center" readingOrder="0"/>
    </xf>
    <xf borderId="0" fillId="85" fontId="26" numFmtId="0" xfId="0" applyAlignment="1" applyFont="1">
      <alignment horizontal="center" readingOrder="0"/>
    </xf>
    <xf borderId="0" fillId="189" fontId="26" numFmtId="0" xfId="0" applyAlignment="1" applyFill="1" applyFont="1">
      <alignment horizontal="center" readingOrder="0"/>
    </xf>
    <xf borderId="0" fillId="28" fontId="25" numFmtId="0" xfId="0" applyAlignment="1" applyFont="1">
      <alignment horizontal="center" readingOrder="0"/>
    </xf>
    <xf borderId="0" fillId="63" fontId="26" numFmtId="0" xfId="0" applyAlignment="1" applyFont="1">
      <alignment horizontal="center" readingOrder="0"/>
    </xf>
    <xf borderId="0" fillId="190" fontId="27" numFmtId="0" xfId="0" applyAlignment="1" applyFill="1" applyFont="1">
      <alignment horizontal="center" readingOrder="0"/>
    </xf>
    <xf borderId="0" fillId="189" fontId="27" numFmtId="0" xfId="0" applyAlignment="1" applyFont="1">
      <alignment horizontal="center" readingOrder="0"/>
    </xf>
    <xf borderId="0" fillId="0" fontId="28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</cols>
  <sheetData>
    <row r="1">
      <c r="A1" s="1" t="s">
        <v>0</v>
      </c>
      <c r="B1" s="1" t="s">
        <v>1</v>
      </c>
      <c r="I1" s="2"/>
      <c r="J1" s="2"/>
      <c r="K1" s="2"/>
      <c r="N1" s="2"/>
    </row>
    <row r="2">
      <c r="C2" s="1" t="s">
        <v>2</v>
      </c>
      <c r="D2" s="1" t="s">
        <v>3</v>
      </c>
      <c r="F2" s="1" t="s">
        <v>4</v>
      </c>
      <c r="G2" s="1" t="s">
        <v>5</v>
      </c>
      <c r="H2" s="1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1" t="s">
        <v>11</v>
      </c>
      <c r="N2" s="3" t="s">
        <v>12</v>
      </c>
      <c r="O2" s="1" t="s">
        <v>13</v>
      </c>
    </row>
    <row r="3">
      <c r="B3" s="1" t="s">
        <v>14</v>
      </c>
      <c r="C3" s="1">
        <v>4.845</v>
      </c>
      <c r="D3" s="1">
        <v>7.535</v>
      </c>
      <c r="F3" s="1">
        <v>0.509</v>
      </c>
      <c r="G3" s="1">
        <v>0.802</v>
      </c>
      <c r="H3" s="1">
        <v>0.837</v>
      </c>
      <c r="I3" s="3">
        <v>0.611</v>
      </c>
      <c r="J3" s="3">
        <v>0.753</v>
      </c>
      <c r="K3" s="3">
        <v>0.352</v>
      </c>
      <c r="L3" s="1">
        <v>0.8</v>
      </c>
      <c r="M3" s="1">
        <v>0.686</v>
      </c>
      <c r="N3" s="3">
        <v>0.743</v>
      </c>
      <c r="O3" s="4">
        <f t="shared" ref="O3:O5" si="1">AVERAGE(F3,G3,H3,L3,M3)</f>
        <v>0.7268</v>
      </c>
    </row>
    <row r="4">
      <c r="A4" s="1" t="s">
        <v>15</v>
      </c>
      <c r="B4" s="1" t="s">
        <v>16</v>
      </c>
      <c r="C4" s="5">
        <v>4.9917</v>
      </c>
      <c r="D4" s="5">
        <v>7.8047</v>
      </c>
      <c r="E4" s="4">
        <f t="shared" ref="E4:E5" si="2">AVERAGE(C4,D4)</f>
        <v>6.3982</v>
      </c>
      <c r="F4" s="1">
        <v>0.4761</v>
      </c>
      <c r="G4" s="1">
        <v>0.7875</v>
      </c>
      <c r="H4" s="1">
        <v>0.8248</v>
      </c>
      <c r="I4" s="1">
        <v>0.6075</v>
      </c>
      <c r="J4" s="1">
        <v>0.7372</v>
      </c>
      <c r="K4" s="1">
        <v>0.352</v>
      </c>
      <c r="L4" s="1">
        <v>0.7992</v>
      </c>
      <c r="M4" s="1">
        <v>0.6643</v>
      </c>
      <c r="N4" s="1">
        <v>0.7332</v>
      </c>
      <c r="O4" s="4">
        <f t="shared" si="1"/>
        <v>0.71038</v>
      </c>
    </row>
    <row r="5">
      <c r="B5" s="1" t="s">
        <v>17</v>
      </c>
      <c r="C5" s="6">
        <v>4.9704</v>
      </c>
      <c r="D5" s="6">
        <v>7.7167</v>
      </c>
      <c r="E5" s="7">
        <f t="shared" si="2"/>
        <v>6.34355</v>
      </c>
      <c r="F5" s="8">
        <v>0.4804</v>
      </c>
      <c r="G5" s="8">
        <v>0.7934</v>
      </c>
      <c r="H5" s="1">
        <v>0.8202</v>
      </c>
      <c r="I5" s="1"/>
      <c r="J5" s="1"/>
      <c r="K5" s="1"/>
      <c r="L5" s="8">
        <v>0.8014</v>
      </c>
      <c r="M5" s="8">
        <v>0.6751</v>
      </c>
      <c r="N5" s="1"/>
      <c r="O5" s="7">
        <f t="shared" si="1"/>
        <v>0.7141</v>
      </c>
      <c r="P5" s="1"/>
      <c r="Q5" s="1"/>
    </row>
    <row r="6">
      <c r="B6" s="9" t="s">
        <v>18</v>
      </c>
      <c r="C6" s="1">
        <v>4.9948</v>
      </c>
      <c r="D6" s="1">
        <v>7.738</v>
      </c>
      <c r="E6" s="4">
        <v>6.3664000000000005</v>
      </c>
      <c r="F6" s="1">
        <v>0.4744</v>
      </c>
      <c r="G6" s="1">
        <v>0.78872</v>
      </c>
      <c r="H6" s="1">
        <v>0.82752</v>
      </c>
      <c r="L6" s="1">
        <v>0.79869</v>
      </c>
      <c r="M6" s="1">
        <v>0.66065</v>
      </c>
      <c r="O6" s="4">
        <v>0.7099960000000001</v>
      </c>
    </row>
    <row r="7">
      <c r="B7" s="1"/>
      <c r="C7" s="1"/>
      <c r="D7" s="1"/>
      <c r="F7" s="1"/>
      <c r="G7" s="1"/>
      <c r="H7" s="1"/>
      <c r="I7" s="3"/>
      <c r="J7" s="3"/>
      <c r="K7" s="3"/>
      <c r="L7" s="1"/>
      <c r="M7" s="1"/>
      <c r="N7" s="3"/>
    </row>
    <row r="8">
      <c r="B8" s="10" t="s">
        <v>19</v>
      </c>
      <c r="C8" s="1">
        <v>4.975</v>
      </c>
      <c r="D8" s="1">
        <v>7.727</v>
      </c>
      <c r="F8" s="1">
        <v>0.493</v>
      </c>
      <c r="G8" s="1">
        <v>0.794</v>
      </c>
      <c r="H8" s="1">
        <v>0.817</v>
      </c>
      <c r="I8" s="3">
        <v>0.601</v>
      </c>
      <c r="J8" s="3">
        <v>0.735</v>
      </c>
      <c r="K8" s="3">
        <v>0.34</v>
      </c>
      <c r="L8" s="1">
        <v>0.797</v>
      </c>
      <c r="M8" s="1">
        <v>0.671</v>
      </c>
      <c r="N8" s="3">
        <v>0.731</v>
      </c>
      <c r="O8" s="4">
        <f t="shared" ref="O8:O10" si="3">AVERAGE(F8,G8,H8,L8,M8)</f>
        <v>0.7144</v>
      </c>
    </row>
    <row r="9">
      <c r="B9" s="9" t="s">
        <v>20</v>
      </c>
      <c r="C9" s="8">
        <v>4.965</v>
      </c>
      <c r="D9" s="8">
        <v>7.711</v>
      </c>
      <c r="F9" s="8">
        <v>0.495</v>
      </c>
      <c r="G9" s="8">
        <v>0.795</v>
      </c>
      <c r="H9" s="8">
        <v>0.818</v>
      </c>
      <c r="I9" s="3">
        <v>0.601</v>
      </c>
      <c r="J9" s="11">
        <v>0.742</v>
      </c>
      <c r="K9" s="3">
        <v>0.326</v>
      </c>
      <c r="L9" s="8">
        <v>0.802</v>
      </c>
      <c r="M9" s="8">
        <v>0.69</v>
      </c>
      <c r="N9" s="3">
        <v>0.734</v>
      </c>
      <c r="O9" s="7">
        <f t="shared" si="3"/>
        <v>0.72</v>
      </c>
    </row>
    <row r="10">
      <c r="B10" s="9" t="s">
        <v>18</v>
      </c>
      <c r="C10" s="1">
        <v>4.975</v>
      </c>
      <c r="D10" s="1">
        <v>7.726</v>
      </c>
      <c r="F10" s="1">
        <v>0.493</v>
      </c>
      <c r="G10" s="1">
        <v>0.793</v>
      </c>
      <c r="H10" s="1">
        <v>0.815</v>
      </c>
      <c r="I10" s="3">
        <v>0.601</v>
      </c>
      <c r="J10" s="3">
        <v>0.738</v>
      </c>
      <c r="K10" s="3">
        <v>0.342</v>
      </c>
      <c r="L10" s="1">
        <v>0.798</v>
      </c>
      <c r="M10" s="1">
        <v>0.678</v>
      </c>
      <c r="N10" s="3">
        <v>0.73</v>
      </c>
      <c r="O10" s="12">
        <f t="shared" si="3"/>
        <v>0.7154</v>
      </c>
    </row>
    <row r="12">
      <c r="B12" s="1" t="s">
        <v>21</v>
      </c>
      <c r="C12" s="1">
        <v>4.969</v>
      </c>
      <c r="D12" s="5">
        <v>7.7777</v>
      </c>
      <c r="F12" s="1">
        <v>0.495</v>
      </c>
      <c r="G12" s="1">
        <v>0.79</v>
      </c>
      <c r="H12" s="1">
        <v>0.818</v>
      </c>
      <c r="L12" s="1">
        <v>0.8036</v>
      </c>
      <c r="M12" s="1">
        <v>0.6895</v>
      </c>
      <c r="O12" s="12">
        <f>AVERAGE(F12,G12,H12,L12,M12)</f>
        <v>0.71922</v>
      </c>
    </row>
    <row r="13">
      <c r="B13" s="1"/>
      <c r="C13" s="1"/>
      <c r="D13" s="5"/>
    </row>
    <row r="14">
      <c r="B14" s="10" t="s">
        <v>22</v>
      </c>
      <c r="C14" s="13">
        <v>5.11</v>
      </c>
      <c r="D14" s="13">
        <v>7.846</v>
      </c>
      <c r="E14" s="14"/>
      <c r="F14" s="13">
        <v>0.477</v>
      </c>
      <c r="G14" s="13">
        <v>0.795</v>
      </c>
      <c r="H14" s="13">
        <v>0.82</v>
      </c>
      <c r="I14" s="14"/>
      <c r="J14" s="14"/>
      <c r="K14" s="14"/>
      <c r="L14" s="13">
        <v>0.794</v>
      </c>
      <c r="M14" s="13">
        <v>0.65</v>
      </c>
      <c r="N14" s="14"/>
      <c r="O14" s="15">
        <f t="shared" ref="O14:O16" si="4">AVERAGE(F14,G14,H14,L14,M14)</f>
        <v>0.7072</v>
      </c>
    </row>
    <row r="15">
      <c r="B15" s="9" t="s">
        <v>23</v>
      </c>
      <c r="C15" s="16">
        <v>5.099</v>
      </c>
      <c r="D15" s="16">
        <v>7.838</v>
      </c>
      <c r="E15" s="14"/>
      <c r="F15" s="16">
        <v>0.48</v>
      </c>
      <c r="G15" s="16">
        <v>0.796</v>
      </c>
      <c r="H15" s="16">
        <v>0.821</v>
      </c>
      <c r="I15" s="14"/>
      <c r="J15" s="14"/>
      <c r="K15" s="14"/>
      <c r="L15" s="16">
        <v>0.796</v>
      </c>
      <c r="M15" s="16">
        <v>0.653</v>
      </c>
      <c r="N15" s="14"/>
      <c r="O15" s="17">
        <f t="shared" si="4"/>
        <v>0.7092</v>
      </c>
    </row>
    <row r="16">
      <c r="B16" s="9" t="s">
        <v>18</v>
      </c>
      <c r="C16" s="13">
        <v>5.111</v>
      </c>
      <c r="D16" s="13">
        <v>7.847</v>
      </c>
      <c r="E16" s="14"/>
      <c r="F16" s="13">
        <v>0.477</v>
      </c>
      <c r="G16" s="13">
        <v>0.795</v>
      </c>
      <c r="H16" s="13">
        <v>0.819</v>
      </c>
      <c r="I16" s="14"/>
      <c r="J16" s="14"/>
      <c r="K16" s="14"/>
      <c r="L16" s="13">
        <v>0.794</v>
      </c>
      <c r="M16" s="13">
        <v>0.65</v>
      </c>
      <c r="N16" s="14"/>
      <c r="O16" s="15">
        <f t="shared" si="4"/>
        <v>0.707</v>
      </c>
    </row>
    <row r="17">
      <c r="O17" s="15"/>
    </row>
    <row r="18">
      <c r="O18" s="15"/>
    </row>
    <row r="19">
      <c r="A19" s="18"/>
      <c r="B19" s="19" t="s">
        <v>22</v>
      </c>
      <c r="C19" s="18">
        <v>4.978000000000001</v>
      </c>
      <c r="D19" s="18">
        <v>7.744</v>
      </c>
      <c r="E19" s="18"/>
      <c r="F19" s="20">
        <v>0.48</v>
      </c>
      <c r="G19" s="20">
        <v>0.795</v>
      </c>
      <c r="H19" s="20">
        <v>0.82</v>
      </c>
      <c r="I19" s="18"/>
      <c r="J19" s="18"/>
      <c r="K19" s="18"/>
      <c r="L19" s="20">
        <v>0.798</v>
      </c>
      <c r="M19" s="20">
        <v>0.675</v>
      </c>
      <c r="N19" s="18"/>
      <c r="O19" s="21">
        <f t="shared" ref="O19:O21" si="5">AVERAGE(F19,G19,H19,L19,M19)</f>
        <v>0.7136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19" t="s">
        <v>24</v>
      </c>
      <c r="B20" s="22" t="s">
        <v>23</v>
      </c>
      <c r="C20" s="23">
        <v>4.9670000000000005</v>
      </c>
      <c r="D20" s="23">
        <v>7.736</v>
      </c>
      <c r="E20" s="18"/>
      <c r="F20" s="24">
        <v>0.483</v>
      </c>
      <c r="G20" s="24">
        <v>0.796</v>
      </c>
      <c r="H20" s="24">
        <v>0.821</v>
      </c>
      <c r="I20" s="18"/>
      <c r="J20" s="18"/>
      <c r="K20" s="18"/>
      <c r="L20" s="24">
        <v>0.8</v>
      </c>
      <c r="M20" s="24">
        <v>0.678</v>
      </c>
      <c r="N20" s="18"/>
      <c r="O20" s="21">
        <f t="shared" si="5"/>
        <v>0.7156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18"/>
      <c r="B21" s="22" t="s">
        <v>18</v>
      </c>
      <c r="C21" s="18">
        <v>4.979</v>
      </c>
      <c r="D21" s="18">
        <v>7.745</v>
      </c>
      <c r="E21" s="18"/>
      <c r="F21" s="20">
        <v>0.48</v>
      </c>
      <c r="G21" s="20">
        <v>0.795</v>
      </c>
      <c r="H21" s="20">
        <v>0.819</v>
      </c>
      <c r="I21" s="18"/>
      <c r="J21" s="18"/>
      <c r="K21" s="18"/>
      <c r="L21" s="20">
        <v>0.798</v>
      </c>
      <c r="M21" s="20">
        <v>0.675</v>
      </c>
      <c r="N21" s="18"/>
      <c r="O21" s="21">
        <f t="shared" si="5"/>
        <v>0.7134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3">
      <c r="B23" s="1" t="s">
        <v>25</v>
      </c>
      <c r="C23" s="1">
        <v>5.072</v>
      </c>
      <c r="D23" s="1">
        <v>7.854</v>
      </c>
      <c r="F23" s="1">
        <v>0.483</v>
      </c>
      <c r="G23" s="1">
        <v>0.794</v>
      </c>
      <c r="H23" s="1">
        <v>0.829</v>
      </c>
      <c r="I23" s="2"/>
      <c r="J23" s="2"/>
      <c r="K23" s="2"/>
      <c r="L23" s="1">
        <v>0.794</v>
      </c>
      <c r="M23" s="1">
        <v>0.66</v>
      </c>
      <c r="N23" s="2"/>
      <c r="O23" s="4">
        <f t="shared" ref="O23:O25" si="6">AVERAGE(F23,G23,H23,L23,M23)</f>
        <v>0.712</v>
      </c>
    </row>
    <row r="24">
      <c r="B24" s="9" t="s">
        <v>26</v>
      </c>
      <c r="C24" s="8">
        <v>5.066</v>
      </c>
      <c r="D24" s="8">
        <v>7.847</v>
      </c>
      <c r="F24" s="8">
        <v>0.491</v>
      </c>
      <c r="G24" s="1">
        <v>0.793</v>
      </c>
      <c r="H24" s="8">
        <v>0.83</v>
      </c>
      <c r="I24" s="2"/>
      <c r="J24" s="2"/>
      <c r="K24" s="2"/>
      <c r="L24" s="8">
        <v>0.797</v>
      </c>
      <c r="M24" s="8">
        <v>0.675</v>
      </c>
      <c r="N24" s="2"/>
      <c r="O24" s="7">
        <f t="shared" si="6"/>
        <v>0.7172</v>
      </c>
    </row>
    <row r="25">
      <c r="B25" s="9" t="s">
        <v>18</v>
      </c>
      <c r="C25" s="1">
        <v>5.073</v>
      </c>
      <c r="D25" s="1">
        <v>7.851</v>
      </c>
      <c r="F25" s="1">
        <v>0.468</v>
      </c>
      <c r="G25" s="1">
        <v>0.787</v>
      </c>
      <c r="H25" s="1">
        <v>0.825</v>
      </c>
      <c r="I25" s="2"/>
      <c r="J25" s="2"/>
      <c r="K25" s="2"/>
      <c r="L25" s="1">
        <v>0.795</v>
      </c>
      <c r="M25" s="1">
        <v>0.653</v>
      </c>
      <c r="N25" s="2"/>
      <c r="O25" s="4">
        <f t="shared" si="6"/>
        <v>0.7056</v>
      </c>
    </row>
    <row r="26">
      <c r="I26" s="2"/>
      <c r="J26" s="2"/>
      <c r="K26" s="2"/>
      <c r="N26" s="2"/>
    </row>
    <row r="27">
      <c r="I27" s="2"/>
      <c r="J27" s="2"/>
      <c r="K27" s="2"/>
      <c r="M27" s="7"/>
      <c r="N27" s="2"/>
    </row>
    <row r="28">
      <c r="I28" s="2"/>
      <c r="J28" s="2"/>
      <c r="K28" s="2"/>
      <c r="N28" s="2"/>
    </row>
    <row r="29">
      <c r="B29" s="1" t="s">
        <v>14</v>
      </c>
      <c r="C29" s="1">
        <v>5.522</v>
      </c>
      <c r="D29" s="1">
        <v>8.409</v>
      </c>
      <c r="F29" s="1">
        <v>0.522</v>
      </c>
      <c r="G29" s="1">
        <v>0.822</v>
      </c>
      <c r="H29" s="1">
        <v>0.83</v>
      </c>
      <c r="I29" s="3">
        <v>0.607</v>
      </c>
      <c r="J29" s="3">
        <v>0.751</v>
      </c>
      <c r="K29" s="3">
        <v>0.34</v>
      </c>
      <c r="L29" s="1">
        <v>0.791</v>
      </c>
      <c r="M29" s="1">
        <v>0.711</v>
      </c>
      <c r="N29" s="3">
        <v>0.746</v>
      </c>
      <c r="O29" s="4">
        <f>AVERAGE(F29,G29,H29,L29,M29)</f>
        <v>0.7352</v>
      </c>
    </row>
    <row r="30">
      <c r="A30" s="10" t="s">
        <v>27</v>
      </c>
      <c r="B30" s="1" t="s">
        <v>16</v>
      </c>
      <c r="C30" s="5">
        <v>6.0248</v>
      </c>
      <c r="D30" s="5">
        <v>9.4397</v>
      </c>
      <c r="E30" s="4">
        <f>AVERAGE(C30,D30)</f>
        <v>7.73225</v>
      </c>
      <c r="F30" s="1">
        <v>0.48976</v>
      </c>
      <c r="G30" s="1">
        <v>0.8064</v>
      </c>
      <c r="H30" s="1">
        <v>0.81896</v>
      </c>
      <c r="L30" s="1">
        <v>0.78346</v>
      </c>
      <c r="M30" s="1">
        <v>0.67509</v>
      </c>
      <c r="O30" s="1">
        <v>0.71473</v>
      </c>
    </row>
    <row r="31">
      <c r="A31" s="25"/>
      <c r="B31" s="26" t="s">
        <v>28</v>
      </c>
      <c r="C31" s="27">
        <v>5.9727</v>
      </c>
      <c r="D31" s="27">
        <v>9.3692</v>
      </c>
      <c r="E31" s="7">
        <v>7.6709499999999995</v>
      </c>
      <c r="F31" s="27">
        <v>0.50512</v>
      </c>
      <c r="G31" s="27">
        <v>0.80682</v>
      </c>
      <c r="H31" s="26">
        <v>0.81284</v>
      </c>
      <c r="L31" s="27">
        <v>0.78672</v>
      </c>
      <c r="M31" s="27">
        <v>0.69314</v>
      </c>
      <c r="O31" s="7">
        <v>0.720928</v>
      </c>
    </row>
    <row r="32">
      <c r="A32" s="26"/>
      <c r="B32" s="28" t="s">
        <v>18</v>
      </c>
      <c r="C32" s="26">
        <v>6.0815</v>
      </c>
      <c r="D32" s="26">
        <v>9.6308</v>
      </c>
      <c r="E32" s="4">
        <v>7.85615</v>
      </c>
      <c r="F32" s="26">
        <v>0.487201</v>
      </c>
      <c r="G32" s="26">
        <v>0.8009</v>
      </c>
      <c r="H32" s="27">
        <v>0.8275</v>
      </c>
      <c r="L32" s="26">
        <v>0.7845</v>
      </c>
      <c r="M32" s="26">
        <v>0.6715</v>
      </c>
      <c r="O32" s="4">
        <v>0.7143202</v>
      </c>
    </row>
    <row r="33">
      <c r="A33" s="10"/>
      <c r="B33" s="10"/>
      <c r="C33" s="1"/>
      <c r="D33" s="1"/>
      <c r="F33" s="1"/>
      <c r="G33" s="1"/>
      <c r="H33" s="1"/>
      <c r="I33" s="3"/>
      <c r="J33" s="3"/>
      <c r="K33" s="3"/>
      <c r="L33" s="8"/>
      <c r="M33" s="1"/>
      <c r="N33" s="3"/>
    </row>
    <row r="34">
      <c r="A34" s="19"/>
      <c r="B34" s="19" t="s">
        <v>16</v>
      </c>
      <c r="C34" s="29">
        <v>6.0248</v>
      </c>
      <c r="D34" s="29">
        <v>9.4397</v>
      </c>
      <c r="E34" s="18">
        <f>AVERAGE(C34,D34)</f>
        <v>7.73225</v>
      </c>
      <c r="F34" s="19">
        <v>0.48976</v>
      </c>
      <c r="G34" s="19">
        <v>0.8064</v>
      </c>
      <c r="H34" s="19">
        <v>0.79896</v>
      </c>
      <c r="I34" s="18"/>
      <c r="J34" s="18"/>
      <c r="K34" s="18"/>
      <c r="L34" s="19">
        <v>0.78346</v>
      </c>
      <c r="M34" s="19">
        <v>0.63509</v>
      </c>
      <c r="N34" s="18"/>
      <c r="O34" s="4">
        <f t="shared" ref="O34:O36" si="7">AVERAGE(F34,G34,H34,L34,M34)</f>
        <v>0.702734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19" t="s">
        <v>24</v>
      </c>
      <c r="B35" s="30" t="s">
        <v>28</v>
      </c>
      <c r="C35" s="31">
        <v>5.9727</v>
      </c>
      <c r="D35" s="31">
        <v>9.3692</v>
      </c>
      <c r="E35" s="23">
        <v>7.6709499999999995</v>
      </c>
      <c r="F35" s="31">
        <v>0.50512</v>
      </c>
      <c r="G35" s="31">
        <v>0.80682</v>
      </c>
      <c r="H35" s="19">
        <v>0.79284</v>
      </c>
      <c r="I35" s="18"/>
      <c r="J35" s="18"/>
      <c r="K35" s="18"/>
      <c r="L35" s="31">
        <v>0.78672</v>
      </c>
      <c r="M35" s="32">
        <v>0.65314</v>
      </c>
      <c r="N35" s="18"/>
      <c r="O35" s="4">
        <f t="shared" si="7"/>
        <v>0.708928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19"/>
      <c r="B36" s="33" t="s">
        <v>18</v>
      </c>
      <c r="C36" s="30">
        <v>6.0815</v>
      </c>
      <c r="D36" s="30">
        <v>9.6308</v>
      </c>
      <c r="E36" s="18">
        <v>7.85615</v>
      </c>
      <c r="F36" s="30">
        <v>0.487201</v>
      </c>
      <c r="G36" s="30">
        <v>0.8009</v>
      </c>
      <c r="H36" s="32">
        <v>0.8075</v>
      </c>
      <c r="I36" s="18"/>
      <c r="J36" s="18"/>
      <c r="K36" s="18"/>
      <c r="L36" s="30">
        <v>0.7845</v>
      </c>
      <c r="M36" s="19">
        <v>0.6315</v>
      </c>
      <c r="N36" s="18"/>
      <c r="O36" s="4">
        <f t="shared" si="7"/>
        <v>0.7023202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10"/>
      <c r="B37" s="10"/>
      <c r="C37" s="1"/>
      <c r="D37" s="1"/>
      <c r="F37" s="1"/>
      <c r="G37" s="1"/>
      <c r="H37" s="1"/>
      <c r="I37" s="3"/>
      <c r="J37" s="3"/>
      <c r="K37" s="3"/>
      <c r="L37" s="8"/>
      <c r="M37" s="1"/>
      <c r="N37" s="3"/>
    </row>
    <row r="38">
      <c r="A38" s="10"/>
      <c r="B38" s="10"/>
      <c r="C38" s="1"/>
      <c r="D38" s="1"/>
      <c r="F38" s="1"/>
      <c r="G38" s="1"/>
      <c r="H38" s="1"/>
      <c r="I38" s="3"/>
      <c r="J38" s="3"/>
      <c r="K38" s="3"/>
      <c r="L38" s="8"/>
      <c r="M38" s="1"/>
      <c r="N38" s="3"/>
    </row>
    <row r="39">
      <c r="B39" s="10" t="s">
        <v>19</v>
      </c>
      <c r="C39" s="1">
        <v>5.968</v>
      </c>
      <c r="D39" s="1">
        <v>9.321</v>
      </c>
      <c r="F39" s="1">
        <v>0.511</v>
      </c>
      <c r="G39" s="1">
        <v>0.806</v>
      </c>
      <c r="H39" s="1">
        <v>0.794</v>
      </c>
      <c r="I39" s="3">
        <v>0.589</v>
      </c>
      <c r="J39" s="3">
        <v>0.739</v>
      </c>
      <c r="K39" s="3">
        <v>0.344</v>
      </c>
      <c r="L39" s="8">
        <v>0.798</v>
      </c>
      <c r="M39" s="1">
        <v>0.635</v>
      </c>
      <c r="N39" s="3">
        <v>0.724</v>
      </c>
      <c r="O39" s="4">
        <f t="shared" ref="O39:O41" si="8">AVERAGE(F39,G39,H39,L39,M39)</f>
        <v>0.7088</v>
      </c>
    </row>
    <row r="40">
      <c r="A40" s="34"/>
      <c r="B40" s="35" t="s">
        <v>29</v>
      </c>
      <c r="C40" s="8">
        <v>5.949</v>
      </c>
      <c r="D40" s="8">
        <v>9.294</v>
      </c>
      <c r="F40" s="8">
        <v>0.512</v>
      </c>
      <c r="G40" s="8">
        <v>0.808</v>
      </c>
      <c r="H40" s="8">
        <v>0.796</v>
      </c>
      <c r="I40" s="3">
        <v>0.587</v>
      </c>
      <c r="J40" s="3">
        <v>0.739</v>
      </c>
      <c r="K40" s="3">
        <v>0.34</v>
      </c>
      <c r="L40" s="1">
        <v>0.796</v>
      </c>
      <c r="M40" s="8">
        <v>0.671</v>
      </c>
      <c r="N40" s="3">
        <v>0.726</v>
      </c>
      <c r="O40" s="7">
        <f t="shared" si="8"/>
        <v>0.7166</v>
      </c>
    </row>
    <row r="41">
      <c r="B41" s="9" t="s">
        <v>18</v>
      </c>
      <c r="C41" s="1">
        <v>5.968</v>
      </c>
      <c r="D41" s="1">
        <v>9.316</v>
      </c>
      <c r="F41" s="1">
        <v>0.507</v>
      </c>
      <c r="G41" s="1">
        <v>0.803</v>
      </c>
      <c r="H41" s="1">
        <v>0.79</v>
      </c>
      <c r="I41" s="3">
        <v>0.589</v>
      </c>
      <c r="J41" s="3">
        <v>0.742</v>
      </c>
      <c r="K41" s="3">
        <v>0.342</v>
      </c>
      <c r="L41" s="1">
        <v>0.796</v>
      </c>
      <c r="M41" s="1">
        <v>0.632</v>
      </c>
      <c r="N41" s="3">
        <v>0.732</v>
      </c>
      <c r="O41" s="4">
        <f t="shared" si="8"/>
        <v>0.7056</v>
      </c>
    </row>
    <row r="42">
      <c r="I42" s="2"/>
      <c r="J42" s="2"/>
      <c r="K42" s="2"/>
      <c r="N42" s="2"/>
    </row>
    <row r="43">
      <c r="B43" s="10" t="s">
        <v>22</v>
      </c>
      <c r="C43" s="1">
        <v>6.455</v>
      </c>
      <c r="D43" s="1">
        <v>10.204</v>
      </c>
      <c r="F43" s="1">
        <v>0.485</v>
      </c>
      <c r="G43" s="1">
        <v>0.784</v>
      </c>
      <c r="H43" s="8">
        <v>0.795</v>
      </c>
      <c r="I43" s="2"/>
      <c r="J43" s="2"/>
      <c r="K43" s="2"/>
      <c r="L43" s="1">
        <v>0.783</v>
      </c>
      <c r="M43" s="1">
        <v>0.681</v>
      </c>
      <c r="N43" s="2"/>
      <c r="O43" s="4">
        <f t="shared" ref="O43:O45" si="9">AVERAGE(F43,G43,H43,L43,M43)</f>
        <v>0.7056</v>
      </c>
    </row>
    <row r="44">
      <c r="B44" s="9" t="s">
        <v>23</v>
      </c>
      <c r="C44" s="8">
        <v>6.449</v>
      </c>
      <c r="D44" s="8">
        <v>10.2</v>
      </c>
      <c r="F44" s="8">
        <v>0.487</v>
      </c>
      <c r="G44" s="8">
        <v>0.786</v>
      </c>
      <c r="H44" s="1">
        <v>0.79</v>
      </c>
      <c r="I44" s="2"/>
      <c r="J44" s="2"/>
      <c r="K44" s="2"/>
      <c r="L44" s="8">
        <v>0.787</v>
      </c>
      <c r="M44" s="8">
        <v>0.693</v>
      </c>
      <c r="N44" s="2"/>
      <c r="O44" s="7">
        <f t="shared" si="9"/>
        <v>0.7086</v>
      </c>
    </row>
    <row r="45">
      <c r="B45" s="9" t="s">
        <v>18</v>
      </c>
      <c r="C45" s="1">
        <v>6.452</v>
      </c>
      <c r="D45" s="1">
        <v>10.204</v>
      </c>
      <c r="F45" s="1">
        <v>0.479</v>
      </c>
      <c r="G45" s="1">
        <v>0.783</v>
      </c>
      <c r="H45" s="1">
        <v>0.792</v>
      </c>
      <c r="I45" s="2"/>
      <c r="J45" s="2"/>
      <c r="K45" s="2"/>
      <c r="L45" s="1">
        <v>0.783</v>
      </c>
      <c r="M45" s="1">
        <v>0.689</v>
      </c>
      <c r="N45" s="2"/>
      <c r="O45" s="4">
        <f t="shared" si="9"/>
        <v>0.7052</v>
      </c>
    </row>
    <row r="46">
      <c r="I46" s="2"/>
      <c r="J46" s="2"/>
      <c r="K46" s="2"/>
      <c r="N46" s="2"/>
    </row>
    <row r="47">
      <c r="C47" s="1" t="s">
        <v>30</v>
      </c>
      <c r="D47" s="1" t="s">
        <v>3</v>
      </c>
      <c r="F47" s="1" t="s">
        <v>31</v>
      </c>
      <c r="G47" s="1" t="s">
        <v>32</v>
      </c>
      <c r="H47" s="1" t="s">
        <v>6</v>
      </c>
      <c r="I47" s="2"/>
      <c r="J47" s="2"/>
      <c r="K47" s="2"/>
      <c r="L47" s="1" t="s">
        <v>10</v>
      </c>
      <c r="M47" s="1" t="s">
        <v>11</v>
      </c>
      <c r="N47" s="2"/>
      <c r="O47" s="1" t="s">
        <v>13</v>
      </c>
    </row>
    <row r="48">
      <c r="A48" s="18"/>
      <c r="B48" s="19" t="s">
        <v>22</v>
      </c>
      <c r="C48" s="19">
        <v>5.995</v>
      </c>
      <c r="D48" s="19">
        <v>9.304</v>
      </c>
      <c r="E48" s="18"/>
      <c r="F48" s="19">
        <v>0.505</v>
      </c>
      <c r="G48" s="19">
        <v>0.804</v>
      </c>
      <c r="H48" s="32">
        <v>0.795</v>
      </c>
      <c r="I48" s="18"/>
      <c r="J48" s="18"/>
      <c r="K48" s="18"/>
      <c r="L48" s="19">
        <v>0.793</v>
      </c>
      <c r="M48" s="19">
        <v>0.651</v>
      </c>
      <c r="N48" s="18"/>
      <c r="O48" s="18">
        <f t="shared" ref="O48:O50" si="10">AVERAGE(F48,G48,H48,L48,M48)</f>
        <v>0.7096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19" t="s">
        <v>24</v>
      </c>
      <c r="B49" s="22" t="s">
        <v>23</v>
      </c>
      <c r="C49" s="32">
        <v>5.989</v>
      </c>
      <c r="D49" s="32">
        <v>9.3</v>
      </c>
      <c r="E49" s="18"/>
      <c r="F49" s="32">
        <v>0.507</v>
      </c>
      <c r="G49" s="32">
        <v>0.806</v>
      </c>
      <c r="H49" s="19">
        <v>0.79</v>
      </c>
      <c r="I49" s="18"/>
      <c r="J49" s="18"/>
      <c r="K49" s="18"/>
      <c r="L49" s="32">
        <v>0.797</v>
      </c>
      <c r="M49" s="32">
        <v>0.663</v>
      </c>
      <c r="N49" s="18"/>
      <c r="O49" s="23">
        <f t="shared" si="10"/>
        <v>0.7126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>
      <c r="A50" s="18"/>
      <c r="B50" s="22" t="s">
        <v>18</v>
      </c>
      <c r="C50" s="19">
        <v>5.992</v>
      </c>
      <c r="D50" s="19">
        <v>9.304</v>
      </c>
      <c r="E50" s="18"/>
      <c r="F50" s="19">
        <v>0.499</v>
      </c>
      <c r="G50" s="19">
        <v>0.803</v>
      </c>
      <c r="H50" s="19">
        <v>0.792</v>
      </c>
      <c r="I50" s="18"/>
      <c r="J50" s="18"/>
      <c r="K50" s="18"/>
      <c r="L50" s="19">
        <v>0.793</v>
      </c>
      <c r="M50" s="19">
        <v>0.659</v>
      </c>
      <c r="N50" s="18"/>
      <c r="O50" s="18">
        <f t="shared" si="10"/>
        <v>0.7092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I51" s="2"/>
      <c r="J51" s="2"/>
      <c r="K51" s="2"/>
      <c r="N51" s="2"/>
    </row>
    <row r="52">
      <c r="B52" s="1" t="s">
        <v>25</v>
      </c>
      <c r="C52" s="1">
        <v>6.158</v>
      </c>
      <c r="D52" s="1">
        <v>9.816</v>
      </c>
      <c r="F52" s="1">
        <v>0.488</v>
      </c>
      <c r="G52" s="1">
        <v>0.797</v>
      </c>
      <c r="H52" s="1">
        <v>0.801</v>
      </c>
      <c r="I52" s="3">
        <v>0.583</v>
      </c>
      <c r="J52" s="3">
        <v>0.729</v>
      </c>
      <c r="K52" s="3">
        <v>0.338</v>
      </c>
      <c r="L52" s="1">
        <v>0.781</v>
      </c>
      <c r="M52" s="1">
        <v>0.657</v>
      </c>
      <c r="N52" s="3">
        <v>0.73</v>
      </c>
      <c r="O52" s="4">
        <f t="shared" ref="O52:O54" si="11">AVERAGE(F52,G52,H52,L52,M52)</f>
        <v>0.7048</v>
      </c>
    </row>
    <row r="53">
      <c r="B53" s="9" t="s">
        <v>26</v>
      </c>
      <c r="C53" s="8">
        <v>6.147</v>
      </c>
      <c r="D53" s="8">
        <v>9.813</v>
      </c>
      <c r="F53" s="1">
        <v>0.487</v>
      </c>
      <c r="G53" s="8">
        <v>0.805</v>
      </c>
      <c r="H53" s="8">
        <v>0.809</v>
      </c>
      <c r="I53" s="3">
        <v>0.587</v>
      </c>
      <c r="J53" s="3">
        <v>0.732</v>
      </c>
      <c r="K53" s="3">
        <v>0.344</v>
      </c>
      <c r="L53" s="8">
        <v>0.787</v>
      </c>
      <c r="M53" s="8">
        <v>0.668</v>
      </c>
      <c r="N53" s="3">
        <v>0.727</v>
      </c>
      <c r="O53" s="7">
        <f t="shared" si="11"/>
        <v>0.7112</v>
      </c>
    </row>
    <row r="54">
      <c r="B54" s="9" t="s">
        <v>18</v>
      </c>
      <c r="C54" s="1">
        <v>6.164</v>
      </c>
      <c r="D54" s="1">
        <v>9.841</v>
      </c>
      <c r="F54" s="1">
        <v>0.486</v>
      </c>
      <c r="G54" s="1">
        <v>0.793</v>
      </c>
      <c r="H54" s="1">
        <v>0.808</v>
      </c>
      <c r="I54" s="3">
        <v>0.583</v>
      </c>
      <c r="J54" s="3">
        <v>0.729</v>
      </c>
      <c r="K54" s="3">
        <v>0.32</v>
      </c>
      <c r="L54" s="1">
        <v>0.786</v>
      </c>
      <c r="M54" s="1">
        <v>0.662</v>
      </c>
      <c r="N54" s="3">
        <v>0.724</v>
      </c>
      <c r="O54" s="4">
        <f t="shared" si="11"/>
        <v>0.707</v>
      </c>
    </row>
    <row r="55">
      <c r="I55" s="2"/>
      <c r="J55" s="2"/>
      <c r="K55" s="2"/>
      <c r="N55" s="2"/>
    </row>
    <row r="56">
      <c r="I56" s="2"/>
      <c r="J56" s="2"/>
      <c r="K56" s="2"/>
      <c r="N56" s="2"/>
    </row>
    <row r="57">
      <c r="I57" s="2"/>
      <c r="J57" s="2"/>
      <c r="K57" s="2"/>
      <c r="N57" s="2"/>
    </row>
    <row r="58">
      <c r="I58" s="2"/>
      <c r="J58" s="2"/>
      <c r="K58" s="2"/>
      <c r="N58" s="2"/>
    </row>
    <row r="59">
      <c r="A59" s="1" t="s">
        <v>33</v>
      </c>
      <c r="B59" s="1" t="s">
        <v>14</v>
      </c>
      <c r="C59" s="1">
        <v>6.0839</v>
      </c>
      <c r="D59" s="1">
        <v>10.8166</v>
      </c>
      <c r="F59" s="1">
        <v>0.477</v>
      </c>
      <c r="G59" s="1">
        <v>0.804</v>
      </c>
      <c r="H59" s="1">
        <v>0.846</v>
      </c>
      <c r="I59" s="3">
        <v>0.6</v>
      </c>
      <c r="J59" s="3">
        <v>0.719</v>
      </c>
      <c r="K59" s="3">
        <v>0.332</v>
      </c>
      <c r="L59" s="1">
        <v>0.787</v>
      </c>
      <c r="M59" s="1">
        <v>0.815</v>
      </c>
      <c r="N59" s="3">
        <v>0.73</v>
      </c>
      <c r="O59" s="4">
        <f>AVERAGE(F59,G59,H59,L59,M59)</f>
        <v>0.7458</v>
      </c>
    </row>
    <row r="60">
      <c r="A60" s="10"/>
      <c r="B60" s="1" t="s">
        <v>16</v>
      </c>
      <c r="C60" s="5">
        <v>6.3893</v>
      </c>
      <c r="D60" s="5">
        <v>11.2961</v>
      </c>
      <c r="E60" s="4">
        <f t="shared" ref="E60:E62" si="12">AVERAGE(C60,D60)</f>
        <v>8.8427</v>
      </c>
      <c r="F60" s="1">
        <v>0.47424</v>
      </c>
      <c r="G60" s="8">
        <v>0.80387</v>
      </c>
      <c r="H60" s="1">
        <v>0.83547</v>
      </c>
      <c r="L60" s="36">
        <v>0.7851</v>
      </c>
      <c r="M60" s="1">
        <v>0.81227</v>
      </c>
      <c r="O60" s="1">
        <v>0.74272</v>
      </c>
    </row>
    <row r="61">
      <c r="A61" s="37"/>
      <c r="B61" s="37" t="s">
        <v>34</v>
      </c>
      <c r="C61" s="38">
        <v>6.3423</v>
      </c>
      <c r="D61" s="38">
        <v>11.1871</v>
      </c>
      <c r="E61" s="39">
        <f t="shared" si="12"/>
        <v>8.7647</v>
      </c>
      <c r="F61" s="38">
        <v>0.47526</v>
      </c>
      <c r="G61" s="36">
        <v>0.7967</v>
      </c>
      <c r="H61" s="38">
        <v>0.8379</v>
      </c>
      <c r="I61" s="40"/>
      <c r="J61" s="40"/>
      <c r="L61" s="8">
        <v>0.78672</v>
      </c>
      <c r="M61" s="36">
        <v>0.8267</v>
      </c>
      <c r="N61" s="40"/>
      <c r="O61" s="38">
        <f>AVERAGE(F61,G61,H61,L60,M61)</f>
        <v>0.744332</v>
      </c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</row>
    <row r="62">
      <c r="A62" s="37"/>
      <c r="B62" s="41" t="s">
        <v>18</v>
      </c>
      <c r="C62" s="36">
        <v>6.3405</v>
      </c>
      <c r="D62" s="36">
        <v>11.2008</v>
      </c>
      <c r="E62" s="42">
        <f t="shared" si="12"/>
        <v>8.77065</v>
      </c>
      <c r="F62" s="36">
        <v>0.46502</v>
      </c>
      <c r="G62" s="36">
        <v>0.79377</v>
      </c>
      <c r="H62" s="36">
        <v>0.83211</v>
      </c>
      <c r="I62" s="37"/>
      <c r="J62" s="37"/>
      <c r="K62" s="37"/>
      <c r="L62" s="36">
        <v>0.784</v>
      </c>
      <c r="M62" s="38">
        <v>0.83394</v>
      </c>
      <c r="N62" s="37"/>
      <c r="O62" s="42">
        <f>AVERAGE(F62,G62,H62,L62,M62)</f>
        <v>0.741768</v>
      </c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1"/>
      <c r="B63" s="1"/>
      <c r="C63" s="1"/>
      <c r="D63" s="1"/>
      <c r="F63" s="1"/>
      <c r="G63" s="1"/>
      <c r="H63" s="1"/>
      <c r="I63" s="3"/>
      <c r="J63" s="3"/>
      <c r="K63" s="3"/>
      <c r="L63" s="1"/>
      <c r="M63" s="1"/>
      <c r="N63" s="3"/>
    </row>
    <row r="64">
      <c r="A64" s="43"/>
      <c r="B64" s="43" t="s">
        <v>16</v>
      </c>
      <c r="C64" s="43">
        <v>6.6915</v>
      </c>
      <c r="D64" s="43">
        <v>12.2029</v>
      </c>
      <c r="E64" s="44"/>
      <c r="F64" s="43">
        <v>0.47184</v>
      </c>
      <c r="G64" s="43">
        <v>0.79882</v>
      </c>
      <c r="H64" s="43">
        <v>0.83517</v>
      </c>
      <c r="I64" s="43"/>
      <c r="J64" s="43"/>
      <c r="K64" s="43"/>
      <c r="L64" s="43">
        <v>0.78074</v>
      </c>
      <c r="M64" s="43">
        <v>0.81588</v>
      </c>
      <c r="N64" s="43"/>
      <c r="O64" s="42">
        <f t="shared" ref="O64:O65" si="13">AVERAGE(F64,G64,H64,L64,M64)</f>
        <v>0.74049</v>
      </c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</row>
    <row r="65">
      <c r="A65" s="43"/>
      <c r="B65" s="45" t="s">
        <v>34</v>
      </c>
      <c r="C65" s="43">
        <v>6.6366</v>
      </c>
      <c r="D65" s="43">
        <v>11.8779</v>
      </c>
      <c r="E65" s="44"/>
      <c r="F65" s="43">
        <v>0.46928</v>
      </c>
      <c r="G65" s="43">
        <v>0.7883</v>
      </c>
      <c r="H65" s="43">
        <v>0.83731</v>
      </c>
      <c r="I65" s="43"/>
      <c r="J65" s="43"/>
      <c r="K65" s="43"/>
      <c r="L65" s="43">
        <v>0.7802</v>
      </c>
      <c r="M65" s="43">
        <v>0.8231</v>
      </c>
      <c r="N65" s="43"/>
      <c r="O65" s="42">
        <f t="shared" si="13"/>
        <v>0.739638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</row>
    <row r="66">
      <c r="C66" s="1" t="s">
        <v>30</v>
      </c>
      <c r="D66" s="1" t="s">
        <v>3</v>
      </c>
      <c r="F66" s="1" t="s">
        <v>31</v>
      </c>
      <c r="G66" s="1" t="s">
        <v>32</v>
      </c>
      <c r="H66" s="1" t="s">
        <v>6</v>
      </c>
      <c r="I66" s="2"/>
      <c r="J66" s="2"/>
      <c r="K66" s="2"/>
      <c r="L66" s="1" t="s">
        <v>10</v>
      </c>
      <c r="M66" s="1" t="s">
        <v>11</v>
      </c>
      <c r="N66" s="2"/>
      <c r="O66" s="1" t="s">
        <v>13</v>
      </c>
    </row>
    <row r="67">
      <c r="A67" s="43"/>
      <c r="B67" s="43" t="s">
        <v>35</v>
      </c>
      <c r="C67" s="43">
        <v>6.6915</v>
      </c>
      <c r="D67" s="43">
        <v>12.2029</v>
      </c>
      <c r="E67" s="44"/>
      <c r="F67" s="43">
        <v>0.45059999999999995</v>
      </c>
      <c r="G67" s="43">
        <v>0.77842</v>
      </c>
      <c r="H67" s="43">
        <v>0.83021</v>
      </c>
      <c r="I67" s="43"/>
      <c r="J67" s="43"/>
      <c r="K67" s="43"/>
      <c r="L67" s="43">
        <v>0.7662</v>
      </c>
      <c r="M67" s="43">
        <v>0.801588</v>
      </c>
      <c r="N67" s="43"/>
      <c r="O67" s="42">
        <f t="shared" ref="O67:O69" si="16">AVERAGE(F67,G67,H67,L67,M67)</f>
        <v>0.7254036</v>
      </c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</row>
    <row r="68">
      <c r="A68" s="43" t="s">
        <v>24</v>
      </c>
      <c r="B68" s="45" t="s">
        <v>34</v>
      </c>
      <c r="C68" s="43">
        <v>6.6366</v>
      </c>
      <c r="D68" s="43">
        <v>11.8779</v>
      </c>
      <c r="E68" s="44"/>
      <c r="F68" s="43">
        <f t="shared" ref="F68:H68" si="14">F67-F60+F61</f>
        <v>0.45162</v>
      </c>
      <c r="G68" s="43">
        <f t="shared" si="14"/>
        <v>0.77125</v>
      </c>
      <c r="H68" s="43">
        <f t="shared" si="14"/>
        <v>0.83264</v>
      </c>
      <c r="I68" s="43"/>
      <c r="J68" s="43"/>
      <c r="K68" s="43"/>
      <c r="L68" s="43">
        <f t="shared" ref="L68:M68" si="15">L67-L60+L61</f>
        <v>0.76782</v>
      </c>
      <c r="M68" s="43">
        <f t="shared" si="15"/>
        <v>0.816018</v>
      </c>
      <c r="N68" s="43"/>
      <c r="O68" s="42">
        <f t="shared" si="16"/>
        <v>0.7278696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>
      <c r="A69" s="43"/>
      <c r="B69" s="41" t="s">
        <v>18</v>
      </c>
      <c r="C69" s="43">
        <f t="shared" ref="C69:D69" si="17">C67-C60+C62</f>
        <v>6.6427</v>
      </c>
      <c r="D69" s="43">
        <f t="shared" si="17"/>
        <v>12.1076</v>
      </c>
      <c r="E69" s="44"/>
      <c r="F69" s="43">
        <f t="shared" ref="F69:H69" si="18">F67-F60+F62</f>
        <v>0.44138</v>
      </c>
      <c r="G69" s="43">
        <f t="shared" si="18"/>
        <v>0.76832</v>
      </c>
      <c r="H69" s="43">
        <f t="shared" si="18"/>
        <v>0.82685</v>
      </c>
      <c r="I69" s="43"/>
      <c r="J69" s="43"/>
      <c r="K69" s="43"/>
      <c r="L69" s="43">
        <f t="shared" ref="L69:M69" si="19">L67-L60+L62</f>
        <v>0.7651</v>
      </c>
      <c r="M69" s="43">
        <f t="shared" si="19"/>
        <v>0.823258</v>
      </c>
      <c r="N69" s="43"/>
      <c r="O69" s="42">
        <f t="shared" si="16"/>
        <v>0.7249816</v>
      </c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</row>
    <row r="70">
      <c r="A70" s="1"/>
      <c r="B70" s="1"/>
      <c r="C70" s="1"/>
      <c r="D70" s="1"/>
      <c r="I70" s="3"/>
      <c r="J70" s="3"/>
      <c r="K70" s="3"/>
      <c r="N70" s="3"/>
    </row>
    <row r="71">
      <c r="B71" s="1" t="s">
        <v>19</v>
      </c>
      <c r="C71" s="1">
        <v>6.4677</v>
      </c>
      <c r="D71" s="1">
        <v>11.4443</v>
      </c>
      <c r="F71" s="1">
        <v>0.469</v>
      </c>
      <c r="G71" s="1">
        <v>0.786</v>
      </c>
      <c r="H71" s="1">
        <v>0.842</v>
      </c>
      <c r="I71" s="3">
        <v>0.587</v>
      </c>
      <c r="J71" s="3">
        <v>0.709</v>
      </c>
      <c r="K71" s="3">
        <v>0.332</v>
      </c>
      <c r="L71" s="1">
        <v>0.78</v>
      </c>
      <c r="M71" s="1">
        <v>0.805</v>
      </c>
      <c r="N71" s="3">
        <v>0.716</v>
      </c>
      <c r="O71" s="4">
        <f t="shared" ref="O71:O73" si="20">AVERAGE(F71,G71,H71,L71,M71)</f>
        <v>0.7364</v>
      </c>
    </row>
    <row r="72">
      <c r="B72" s="9" t="s">
        <v>36</v>
      </c>
      <c r="C72" s="8">
        <v>6.438</v>
      </c>
      <c r="D72" s="8">
        <v>11.363</v>
      </c>
      <c r="F72" s="8">
        <v>0.473</v>
      </c>
      <c r="G72" s="8">
        <v>0.792</v>
      </c>
      <c r="H72" s="8">
        <v>0.847</v>
      </c>
      <c r="I72" s="3">
        <v>0.589</v>
      </c>
      <c r="J72" s="1">
        <v>0.702</v>
      </c>
      <c r="K72" s="3">
        <v>0.338</v>
      </c>
      <c r="L72" s="1">
        <v>0.782</v>
      </c>
      <c r="M72" s="8">
        <v>0.819</v>
      </c>
      <c r="N72" s="3">
        <v>0.721</v>
      </c>
      <c r="O72" s="7">
        <f t="shared" si="20"/>
        <v>0.7426</v>
      </c>
    </row>
    <row r="73">
      <c r="B73" s="9" t="s">
        <v>18</v>
      </c>
      <c r="C73" s="1">
        <v>6.467</v>
      </c>
      <c r="D73" s="1">
        <v>11.45</v>
      </c>
      <c r="F73" s="1">
        <v>0.459</v>
      </c>
      <c r="G73" s="1">
        <v>0.787</v>
      </c>
      <c r="H73" s="1">
        <v>0.843</v>
      </c>
      <c r="I73" s="1">
        <v>0.588</v>
      </c>
      <c r="J73" s="3">
        <v>0.704</v>
      </c>
      <c r="K73" s="3">
        <v>0.34</v>
      </c>
      <c r="L73" s="8">
        <v>0.787</v>
      </c>
      <c r="M73" s="1">
        <v>0.815</v>
      </c>
      <c r="N73" s="3">
        <v>0.711</v>
      </c>
      <c r="O73" s="4">
        <f t="shared" si="20"/>
        <v>0.7382</v>
      </c>
    </row>
    <row r="75">
      <c r="B75" s="46" t="s">
        <v>22</v>
      </c>
      <c r="C75" s="1">
        <v>6.708</v>
      </c>
      <c r="D75" s="1">
        <v>11.539</v>
      </c>
      <c r="F75" s="1">
        <v>0.454</v>
      </c>
      <c r="G75" s="8">
        <v>0.781</v>
      </c>
      <c r="H75" s="1">
        <v>0.805</v>
      </c>
      <c r="L75" s="8">
        <v>0.78</v>
      </c>
      <c r="M75" s="1">
        <v>0.769</v>
      </c>
      <c r="O75" s="4">
        <f t="shared" ref="O75:O77" si="21">AVERAGE(F75,G75,H75,L75,M75)</f>
        <v>0.7178</v>
      </c>
    </row>
    <row r="76">
      <c r="B76" s="47" t="s">
        <v>23</v>
      </c>
      <c r="C76" s="8">
        <v>6.702</v>
      </c>
      <c r="D76" s="8">
        <v>11.534</v>
      </c>
      <c r="F76" s="8">
        <v>0.459</v>
      </c>
      <c r="G76" s="1">
        <v>0.779</v>
      </c>
      <c r="H76" s="8">
        <v>0.814</v>
      </c>
      <c r="L76" s="1">
        <v>0.779</v>
      </c>
      <c r="M76" s="8">
        <v>0.787</v>
      </c>
      <c r="O76" s="7">
        <f t="shared" si="21"/>
        <v>0.7236</v>
      </c>
    </row>
    <row r="77">
      <c r="B77" s="47" t="s">
        <v>18</v>
      </c>
      <c r="C77" s="1">
        <v>6.709</v>
      </c>
      <c r="D77" s="1">
        <v>11.538</v>
      </c>
      <c r="F77" s="1">
        <v>0.451</v>
      </c>
      <c r="G77" s="1">
        <v>0.779</v>
      </c>
      <c r="H77" s="1">
        <v>0.805</v>
      </c>
      <c r="L77" s="1">
        <v>0.778</v>
      </c>
      <c r="M77" s="1">
        <v>0.769</v>
      </c>
      <c r="O77" s="4">
        <f t="shared" si="21"/>
        <v>0.7164</v>
      </c>
    </row>
    <row r="79">
      <c r="B79" s="1" t="s">
        <v>25</v>
      </c>
      <c r="C79" s="1">
        <v>6.52</v>
      </c>
      <c r="D79" s="1">
        <v>11.394</v>
      </c>
      <c r="F79" s="1">
        <v>0.476</v>
      </c>
      <c r="G79" s="1">
        <v>0.793</v>
      </c>
      <c r="H79" s="1">
        <v>0.838</v>
      </c>
      <c r="I79" s="3">
        <v>0.579</v>
      </c>
      <c r="J79" s="3">
        <v>0.697</v>
      </c>
      <c r="K79" s="3">
        <v>0.32</v>
      </c>
      <c r="L79" s="1">
        <v>0.78</v>
      </c>
      <c r="M79" s="1">
        <v>0.801</v>
      </c>
      <c r="N79" s="3">
        <v>0.706</v>
      </c>
      <c r="O79" s="4">
        <f t="shared" ref="O79:O81" si="22">AVERAGE(F79,G79,H79,L79,M79)</f>
        <v>0.7376</v>
      </c>
    </row>
    <row r="80">
      <c r="B80" s="9" t="s">
        <v>37</v>
      </c>
      <c r="C80" s="8">
        <v>6.512</v>
      </c>
      <c r="D80" s="8">
        <v>11.372</v>
      </c>
      <c r="F80" s="8">
        <v>0.485</v>
      </c>
      <c r="G80" s="8">
        <v>0.796</v>
      </c>
      <c r="H80" s="8">
        <v>0.841</v>
      </c>
      <c r="I80" s="3">
        <v>0.583</v>
      </c>
      <c r="J80" s="1">
        <v>0.696</v>
      </c>
      <c r="K80" s="3">
        <v>0.308</v>
      </c>
      <c r="L80" s="8">
        <v>0.788</v>
      </c>
      <c r="M80" s="8">
        <v>0.834</v>
      </c>
      <c r="N80" s="3">
        <v>0.708</v>
      </c>
      <c r="O80" s="7">
        <f t="shared" si="22"/>
        <v>0.7488</v>
      </c>
    </row>
    <row r="81">
      <c r="B81" s="9" t="s">
        <v>18</v>
      </c>
      <c r="C81" s="1">
        <v>6.516</v>
      </c>
      <c r="D81" s="1">
        <v>11.394</v>
      </c>
      <c r="F81" s="1">
        <v>0.482</v>
      </c>
      <c r="G81" s="1">
        <v>0.793</v>
      </c>
      <c r="H81" s="1">
        <v>0.839</v>
      </c>
      <c r="I81" s="3">
        <v>0.58</v>
      </c>
      <c r="J81" s="3">
        <v>0.7</v>
      </c>
      <c r="K81" s="3">
        <v>0.308</v>
      </c>
      <c r="L81" s="1">
        <v>0.782</v>
      </c>
      <c r="M81" s="1">
        <v>0.801</v>
      </c>
      <c r="N81" s="3">
        <v>0.702</v>
      </c>
      <c r="O81" s="4">
        <f t="shared" si="22"/>
        <v>0.7394</v>
      </c>
    </row>
    <row r="82">
      <c r="I82" s="2"/>
      <c r="J82" s="2"/>
      <c r="K82" s="2"/>
      <c r="N82" s="2"/>
    </row>
    <row r="83">
      <c r="I83" s="2"/>
      <c r="J83" s="2"/>
      <c r="K83" s="2"/>
      <c r="N83" s="2"/>
    </row>
    <row r="84">
      <c r="I84" s="2"/>
      <c r="J84" s="2"/>
      <c r="K84" s="2"/>
      <c r="N84" s="2"/>
    </row>
    <row r="85">
      <c r="I85" s="2"/>
      <c r="J85" s="2"/>
      <c r="K85" s="2"/>
      <c r="N85" s="2"/>
    </row>
    <row r="86">
      <c r="I86" s="2"/>
      <c r="J86" s="2"/>
      <c r="K86" s="2"/>
      <c r="N86" s="2"/>
    </row>
    <row r="87">
      <c r="I87" s="2"/>
      <c r="J87" s="2"/>
      <c r="K87" s="2"/>
      <c r="N87" s="2"/>
    </row>
    <row r="88">
      <c r="A88" s="1" t="s">
        <v>0</v>
      </c>
      <c r="B88" s="1" t="s">
        <v>1</v>
      </c>
      <c r="I88" s="2"/>
      <c r="J88" s="2"/>
      <c r="K88" s="2"/>
      <c r="N88" s="2"/>
    </row>
    <row r="89">
      <c r="C89" s="1" t="s">
        <v>2</v>
      </c>
      <c r="D89" s="1" t="s">
        <v>3</v>
      </c>
      <c r="F89" s="1" t="s">
        <v>4</v>
      </c>
      <c r="G89" s="1" t="s">
        <v>5</v>
      </c>
      <c r="H89" s="1" t="s">
        <v>6</v>
      </c>
      <c r="I89" s="3" t="s">
        <v>7</v>
      </c>
      <c r="J89" s="3" t="s">
        <v>8</v>
      </c>
      <c r="K89" s="3" t="s">
        <v>9</v>
      </c>
      <c r="L89" s="1" t="s">
        <v>10</v>
      </c>
      <c r="M89" s="1" t="s">
        <v>11</v>
      </c>
      <c r="N89" s="3" t="s">
        <v>12</v>
      </c>
      <c r="O89" s="1" t="s">
        <v>13</v>
      </c>
    </row>
    <row r="90">
      <c r="B90" s="1" t="s">
        <v>14</v>
      </c>
      <c r="C90" s="1">
        <v>5.442</v>
      </c>
      <c r="D90" s="1">
        <v>8.346</v>
      </c>
      <c r="F90" s="1">
        <v>0.505</v>
      </c>
      <c r="G90" s="1">
        <v>0.8</v>
      </c>
      <c r="H90" s="1">
        <v>0.813</v>
      </c>
      <c r="I90" s="3">
        <v>0.601</v>
      </c>
      <c r="J90" s="3">
        <v>0.76</v>
      </c>
      <c r="K90" s="3">
        <v>0.348</v>
      </c>
      <c r="L90" s="1">
        <v>0.796</v>
      </c>
      <c r="M90" s="1">
        <v>0.696</v>
      </c>
      <c r="N90" s="3">
        <v>0.726</v>
      </c>
      <c r="O90" s="4">
        <f t="shared" ref="O90:O93" si="23">AVERAGE(F90,G90,H90,L90,M90)</f>
        <v>0.722</v>
      </c>
    </row>
    <row r="91">
      <c r="A91" s="10" t="s">
        <v>38</v>
      </c>
      <c r="B91" s="1" t="s">
        <v>35</v>
      </c>
      <c r="C91" s="5">
        <v>5.9572</v>
      </c>
      <c r="D91" s="1">
        <v>9.5846</v>
      </c>
      <c r="E91" s="4">
        <f t="shared" ref="E91:E93" si="24">AVERAGE(C91,D91)</f>
        <v>7.7709</v>
      </c>
      <c r="F91" s="1">
        <v>0.4889</v>
      </c>
      <c r="G91" s="1">
        <v>0.7934</v>
      </c>
      <c r="H91" s="1">
        <v>0.8104</v>
      </c>
      <c r="I91" s="1">
        <v>0.595</v>
      </c>
      <c r="J91" s="1">
        <v>0.7357</v>
      </c>
      <c r="K91" s="1">
        <v>0.348</v>
      </c>
      <c r="L91" s="1">
        <v>0.784</v>
      </c>
      <c r="M91" s="1">
        <v>0.628</v>
      </c>
      <c r="N91" s="1">
        <v>0.7111</v>
      </c>
      <c r="O91" s="4">
        <f t="shared" si="23"/>
        <v>0.70094</v>
      </c>
    </row>
    <row r="92">
      <c r="B92" s="1" t="s">
        <v>39</v>
      </c>
      <c r="C92" s="8">
        <v>5.9236</v>
      </c>
      <c r="D92" s="8">
        <v>9.2523</v>
      </c>
      <c r="E92" s="7">
        <f t="shared" si="24"/>
        <v>7.58795</v>
      </c>
      <c r="F92" s="8">
        <v>0.5</v>
      </c>
      <c r="G92" s="1">
        <v>0.794</v>
      </c>
      <c r="H92" s="8">
        <v>0.8147</v>
      </c>
      <c r="I92" s="1">
        <v>0.5954</v>
      </c>
      <c r="J92" s="1">
        <v>0.735</v>
      </c>
      <c r="K92" s="1">
        <v>0.342</v>
      </c>
      <c r="L92" s="8">
        <v>0.7818</v>
      </c>
      <c r="M92" s="8">
        <v>0.6679</v>
      </c>
      <c r="N92" s="1">
        <v>0.7159</v>
      </c>
      <c r="O92" s="7">
        <f t="shared" si="23"/>
        <v>0.71168</v>
      </c>
    </row>
    <row r="93">
      <c r="B93" s="9" t="s">
        <v>18</v>
      </c>
      <c r="C93" s="1">
        <v>5.9711</v>
      </c>
      <c r="D93" s="1">
        <v>9.3279</v>
      </c>
      <c r="E93" s="4">
        <f t="shared" si="24"/>
        <v>7.6495</v>
      </c>
      <c r="F93" s="1">
        <v>0.49061</v>
      </c>
      <c r="G93" s="8">
        <v>0.79545</v>
      </c>
      <c r="H93" s="1">
        <v>0.81315</v>
      </c>
      <c r="L93" s="1">
        <v>0.7802</v>
      </c>
      <c r="M93" s="1">
        <v>0.63899</v>
      </c>
      <c r="O93" s="4">
        <f t="shared" si="23"/>
        <v>0.70368</v>
      </c>
    </row>
    <row r="94">
      <c r="C94" s="1" t="s">
        <v>2</v>
      </c>
      <c r="D94" s="1" t="s">
        <v>3</v>
      </c>
      <c r="F94" s="1" t="s">
        <v>4</v>
      </c>
      <c r="G94" s="1" t="s">
        <v>5</v>
      </c>
      <c r="H94" s="1" t="s">
        <v>6</v>
      </c>
      <c r="I94" s="3" t="s">
        <v>7</v>
      </c>
      <c r="J94" s="3" t="s">
        <v>8</v>
      </c>
      <c r="K94" s="3" t="s">
        <v>9</v>
      </c>
      <c r="L94" s="1" t="s">
        <v>10</v>
      </c>
      <c r="M94" s="1" t="s">
        <v>11</v>
      </c>
      <c r="N94" s="3" t="s">
        <v>12</v>
      </c>
      <c r="O94" s="1" t="s">
        <v>13</v>
      </c>
    </row>
    <row r="95">
      <c r="A95" s="18"/>
      <c r="B95" s="19" t="s">
        <v>35</v>
      </c>
      <c r="C95" s="29">
        <v>6.0572</v>
      </c>
      <c r="D95" s="19">
        <v>9.5846</v>
      </c>
      <c r="E95" s="18"/>
      <c r="F95" s="19">
        <v>0.4789</v>
      </c>
      <c r="G95" s="19">
        <v>0.78</v>
      </c>
      <c r="H95" s="19">
        <v>0.791</v>
      </c>
      <c r="I95" s="19"/>
      <c r="J95" s="19"/>
      <c r="K95" s="19"/>
      <c r="L95" s="19">
        <v>0.784</v>
      </c>
      <c r="M95" s="19">
        <v>0.628</v>
      </c>
      <c r="N95" s="19">
        <v>0.7111</v>
      </c>
      <c r="O95" s="18">
        <f t="shared" ref="O95:O97" si="25">AVERAGE(F95,G95,H95,L95,M95)</f>
        <v>0.69238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>
      <c r="A96" s="19" t="s">
        <v>24</v>
      </c>
      <c r="B96" s="19" t="s">
        <v>39</v>
      </c>
      <c r="C96" s="32">
        <v>6.0236</v>
      </c>
      <c r="D96" s="32">
        <v>9.2523</v>
      </c>
      <c r="E96" s="23"/>
      <c r="F96" s="32">
        <v>0.49</v>
      </c>
      <c r="G96" s="19">
        <v>0.781</v>
      </c>
      <c r="H96" s="32">
        <v>0.796</v>
      </c>
      <c r="I96" s="19"/>
      <c r="J96" s="19"/>
      <c r="K96" s="19"/>
      <c r="L96" s="32">
        <v>0.7818</v>
      </c>
      <c r="M96" s="32">
        <v>0.6679</v>
      </c>
      <c r="N96" s="19">
        <v>0.7159</v>
      </c>
      <c r="O96" s="23">
        <f t="shared" si="25"/>
        <v>0.70334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>
      <c r="A97" s="18"/>
      <c r="B97" s="22" t="s">
        <v>18</v>
      </c>
      <c r="C97" s="19">
        <v>6.0711</v>
      </c>
      <c r="D97" s="19">
        <v>9.3279</v>
      </c>
      <c r="E97" s="18"/>
      <c r="F97" s="19">
        <v>0.48061</v>
      </c>
      <c r="G97" s="32">
        <v>0.782</v>
      </c>
      <c r="H97" s="19">
        <v>0.794</v>
      </c>
      <c r="I97" s="18"/>
      <c r="J97" s="18"/>
      <c r="K97" s="18"/>
      <c r="L97" s="19">
        <v>0.7802</v>
      </c>
      <c r="M97" s="19">
        <v>0.63899</v>
      </c>
      <c r="N97" s="18"/>
      <c r="O97" s="18">
        <f t="shared" si="25"/>
        <v>0.69516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>
      <c r="B98" s="1"/>
      <c r="C98" s="1"/>
      <c r="D98" s="1"/>
      <c r="F98" s="1"/>
      <c r="G98" s="1"/>
      <c r="H98" s="1"/>
      <c r="I98" s="3"/>
      <c r="J98" s="3"/>
      <c r="K98" s="3"/>
      <c r="L98" s="1"/>
      <c r="M98" s="1"/>
      <c r="N98" s="3"/>
    </row>
    <row r="99">
      <c r="B99" s="1"/>
      <c r="C99" s="1"/>
      <c r="D99" s="1"/>
      <c r="F99" s="1"/>
      <c r="G99" s="1"/>
      <c r="H99" s="1"/>
      <c r="I99" s="3"/>
      <c r="J99" s="3"/>
      <c r="K99" s="3"/>
      <c r="L99" s="1"/>
      <c r="M99" s="1"/>
      <c r="N99" s="3"/>
    </row>
    <row r="100">
      <c r="B100" s="10" t="s">
        <v>19</v>
      </c>
      <c r="C100" s="1">
        <v>5.91</v>
      </c>
      <c r="D100" s="1">
        <v>9.24</v>
      </c>
      <c r="F100" s="1">
        <v>0.488</v>
      </c>
      <c r="G100" s="1">
        <v>0.784</v>
      </c>
      <c r="H100" s="1">
        <v>0.795</v>
      </c>
      <c r="I100" s="3">
        <v>0.591</v>
      </c>
      <c r="J100" s="3">
        <v>0.747</v>
      </c>
      <c r="K100" s="3">
        <v>0.346</v>
      </c>
      <c r="L100" s="1">
        <v>0.791</v>
      </c>
      <c r="M100" s="1">
        <v>0.646</v>
      </c>
      <c r="N100" s="3">
        <v>0.727</v>
      </c>
      <c r="O100" s="4">
        <f t="shared" ref="O100:O102" si="26">AVERAGE(F100,G100,H100,L100,M100)</f>
        <v>0.7008</v>
      </c>
    </row>
    <row r="101">
      <c r="A101" s="34"/>
      <c r="B101" s="35" t="s">
        <v>37</v>
      </c>
      <c r="C101" s="8">
        <v>5.885</v>
      </c>
      <c r="D101" s="8">
        <v>9.199</v>
      </c>
      <c r="F101" s="8">
        <v>0.493</v>
      </c>
      <c r="G101" s="8">
        <v>0.788</v>
      </c>
      <c r="H101" s="8">
        <v>0.799</v>
      </c>
      <c r="I101" s="3">
        <v>0.59</v>
      </c>
      <c r="J101" s="3">
        <v>0.737</v>
      </c>
      <c r="K101" s="3">
        <v>0.336</v>
      </c>
      <c r="L101" s="1">
        <v>0.788</v>
      </c>
      <c r="M101" s="8">
        <v>0.679</v>
      </c>
      <c r="N101" s="3">
        <v>0.728</v>
      </c>
      <c r="O101" s="7">
        <f t="shared" si="26"/>
        <v>0.7094</v>
      </c>
    </row>
    <row r="102">
      <c r="B102" s="9" t="s">
        <v>18</v>
      </c>
      <c r="C102" s="1">
        <v>5.906</v>
      </c>
      <c r="D102" s="1">
        <v>9.234</v>
      </c>
      <c r="F102" s="1">
        <v>0.489</v>
      </c>
      <c r="G102" s="1">
        <v>0.784</v>
      </c>
      <c r="H102" s="1">
        <v>0.796</v>
      </c>
      <c r="I102" s="3">
        <v>0.592</v>
      </c>
      <c r="J102" s="3">
        <v>0.745</v>
      </c>
      <c r="K102" s="3">
        <v>0.338</v>
      </c>
      <c r="L102" s="1">
        <v>0.792</v>
      </c>
      <c r="M102" s="1">
        <v>0.617</v>
      </c>
      <c r="N102" s="3">
        <v>0.722</v>
      </c>
      <c r="O102" s="4">
        <f t="shared" si="26"/>
        <v>0.6956</v>
      </c>
    </row>
    <row r="103">
      <c r="I103" s="2"/>
      <c r="J103" s="2"/>
      <c r="K103" s="2"/>
      <c r="N103" s="2"/>
    </row>
    <row r="104">
      <c r="B104" s="46" t="s">
        <v>22</v>
      </c>
      <c r="C104" s="8">
        <v>6.611</v>
      </c>
      <c r="D104" s="1">
        <v>10.47</v>
      </c>
      <c r="F104" s="1">
        <v>0.437</v>
      </c>
      <c r="G104" s="1">
        <v>0.773</v>
      </c>
      <c r="H104" s="8">
        <v>0.728</v>
      </c>
      <c r="I104" s="3"/>
      <c r="J104" s="3"/>
      <c r="K104" s="3"/>
      <c r="L104" s="8">
        <v>0.768</v>
      </c>
      <c r="M104" s="1">
        <v>0.689</v>
      </c>
      <c r="N104" s="3"/>
      <c r="O104" s="4">
        <f t="shared" ref="O104:O106" si="27">AVERAGE(F104,G104,H104,L104,M104)</f>
        <v>0.679</v>
      </c>
    </row>
    <row r="105">
      <c r="B105" s="47" t="s">
        <v>23</v>
      </c>
      <c r="C105" s="1">
        <v>6.613</v>
      </c>
      <c r="D105" s="8">
        <v>10.454</v>
      </c>
      <c r="F105" s="8">
        <v>0.439</v>
      </c>
      <c r="G105" s="8">
        <v>0.78</v>
      </c>
      <c r="H105" s="1">
        <v>0.725</v>
      </c>
      <c r="I105" s="3"/>
      <c r="J105" s="3"/>
      <c r="K105" s="3"/>
      <c r="L105" s="8">
        <v>0.768</v>
      </c>
      <c r="M105" s="8">
        <v>0.693</v>
      </c>
      <c r="N105" s="3"/>
      <c r="O105" s="7">
        <f t="shared" si="27"/>
        <v>0.681</v>
      </c>
    </row>
    <row r="106">
      <c r="B106" s="47" t="s">
        <v>18</v>
      </c>
      <c r="C106" s="1">
        <v>6.614</v>
      </c>
      <c r="D106" s="1">
        <v>10.471</v>
      </c>
      <c r="F106" s="1">
        <v>0.436</v>
      </c>
      <c r="G106" s="1">
        <v>0.773</v>
      </c>
      <c r="H106" s="1">
        <v>0.725</v>
      </c>
      <c r="I106" s="3"/>
      <c r="J106" s="3"/>
      <c r="K106" s="3"/>
      <c r="L106" s="1">
        <v>0.767</v>
      </c>
      <c r="M106" s="1">
        <v>0.686</v>
      </c>
      <c r="N106" s="3"/>
      <c r="O106" s="4">
        <f t="shared" si="27"/>
        <v>0.6774</v>
      </c>
    </row>
    <row r="107">
      <c r="C107" s="1" t="s">
        <v>2</v>
      </c>
      <c r="D107" s="1" t="s">
        <v>3</v>
      </c>
      <c r="F107" s="1" t="s">
        <v>4</v>
      </c>
      <c r="G107" s="1" t="s">
        <v>5</v>
      </c>
      <c r="H107" s="1" t="s">
        <v>6</v>
      </c>
      <c r="I107" s="3" t="s">
        <v>7</v>
      </c>
      <c r="J107" s="3" t="s">
        <v>8</v>
      </c>
      <c r="K107" s="3" t="s">
        <v>9</v>
      </c>
      <c r="L107" s="1" t="s">
        <v>10</v>
      </c>
      <c r="M107" s="1" t="s">
        <v>11</v>
      </c>
      <c r="N107" s="3" t="s">
        <v>12</v>
      </c>
      <c r="O107" s="1" t="s">
        <v>13</v>
      </c>
    </row>
    <row r="108">
      <c r="A108" s="18"/>
      <c r="B108" s="48" t="s">
        <v>22</v>
      </c>
      <c r="C108" s="32">
        <v>6.011</v>
      </c>
      <c r="D108" s="19">
        <v>9.37</v>
      </c>
      <c r="E108" s="18"/>
      <c r="F108" s="19">
        <v>0.487</v>
      </c>
      <c r="G108" s="19">
        <v>0.783</v>
      </c>
      <c r="H108" s="32">
        <v>0.798</v>
      </c>
      <c r="I108" s="19"/>
      <c r="J108" s="19"/>
      <c r="K108" s="19"/>
      <c r="L108" s="32">
        <v>0.788</v>
      </c>
      <c r="M108" s="19">
        <v>0.689</v>
      </c>
      <c r="N108" s="19"/>
      <c r="O108" s="18">
        <f t="shared" ref="O108:O110" si="28">AVERAGE(F108,G108,H108,L108,M108)</f>
        <v>0.709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>
      <c r="A109" s="19" t="s">
        <v>24</v>
      </c>
      <c r="B109" s="49" t="s">
        <v>23</v>
      </c>
      <c r="C109" s="19">
        <v>6.013</v>
      </c>
      <c r="D109" s="32">
        <v>9.354</v>
      </c>
      <c r="E109" s="18"/>
      <c r="F109" s="32">
        <v>0.489</v>
      </c>
      <c r="G109" s="32">
        <v>0.79</v>
      </c>
      <c r="H109" s="19">
        <v>0.795</v>
      </c>
      <c r="I109" s="19"/>
      <c r="J109" s="19"/>
      <c r="K109" s="19"/>
      <c r="L109" s="32">
        <v>0.788</v>
      </c>
      <c r="M109" s="32">
        <v>0.693</v>
      </c>
      <c r="N109" s="19"/>
      <c r="O109" s="23">
        <f t="shared" si="28"/>
        <v>0.711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>
      <c r="A110" s="18"/>
      <c r="B110" s="49" t="s">
        <v>18</v>
      </c>
      <c r="C110" s="19">
        <v>6.014</v>
      </c>
      <c r="D110" s="19">
        <v>9.371</v>
      </c>
      <c r="E110" s="18"/>
      <c r="F110" s="19">
        <v>0.486</v>
      </c>
      <c r="G110" s="19">
        <v>0.783</v>
      </c>
      <c r="H110" s="19">
        <v>0.795</v>
      </c>
      <c r="I110" s="19"/>
      <c r="J110" s="19"/>
      <c r="K110" s="19"/>
      <c r="L110" s="19">
        <v>0.787</v>
      </c>
      <c r="M110" s="19">
        <v>0.686</v>
      </c>
      <c r="N110" s="19"/>
      <c r="O110" s="18">
        <f t="shared" si="28"/>
        <v>0.7074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I111" s="2"/>
      <c r="J111" s="2"/>
      <c r="K111" s="2"/>
      <c r="N111" s="2"/>
    </row>
    <row r="112">
      <c r="I112" s="2"/>
      <c r="J112" s="2"/>
      <c r="K112" s="2"/>
      <c r="N112" s="2"/>
    </row>
    <row r="113">
      <c r="B113" s="1" t="s">
        <v>40</v>
      </c>
      <c r="C113" s="1">
        <v>6.113</v>
      </c>
      <c r="D113" s="1">
        <v>9.772</v>
      </c>
      <c r="F113" s="1">
        <v>0.471</v>
      </c>
      <c r="G113" s="1">
        <v>0.777</v>
      </c>
      <c r="H113" s="1">
        <v>0.796</v>
      </c>
      <c r="I113" s="3">
        <v>0.581</v>
      </c>
      <c r="J113" s="3">
        <v>0.736</v>
      </c>
      <c r="K113" s="3">
        <v>0.324</v>
      </c>
      <c r="L113" s="1">
        <v>0.776</v>
      </c>
      <c r="M113" s="1">
        <v>0.678</v>
      </c>
      <c r="N113" s="3">
        <v>0.727</v>
      </c>
      <c r="O113" s="4">
        <f t="shared" ref="O113:O115" si="29">AVERAGE(F113,G113,H113,L113,M113)</f>
        <v>0.6996</v>
      </c>
    </row>
    <row r="114">
      <c r="B114" s="9" t="s">
        <v>41</v>
      </c>
      <c r="C114" s="8">
        <v>6.105</v>
      </c>
      <c r="D114" s="8">
        <v>9.747</v>
      </c>
      <c r="F114" s="8">
        <v>0.473</v>
      </c>
      <c r="G114" s="8">
        <v>0.782</v>
      </c>
      <c r="H114" s="1">
        <v>0.794</v>
      </c>
      <c r="I114" s="3">
        <v>0.581</v>
      </c>
      <c r="J114" s="3">
        <v>0.74</v>
      </c>
      <c r="K114" s="3">
        <v>0.336</v>
      </c>
      <c r="L114" s="8">
        <v>0.788</v>
      </c>
      <c r="M114" s="8">
        <v>0.686</v>
      </c>
      <c r="N114" s="2"/>
      <c r="O114" s="7">
        <f t="shared" si="29"/>
        <v>0.7046</v>
      </c>
    </row>
    <row r="115">
      <c r="B115" s="9" t="s">
        <v>18</v>
      </c>
      <c r="C115" s="1">
        <v>6.114</v>
      </c>
      <c r="D115" s="1">
        <v>9.801</v>
      </c>
      <c r="F115" s="1">
        <v>0.466</v>
      </c>
      <c r="G115" s="1">
        <v>0.773</v>
      </c>
      <c r="H115" s="8">
        <v>0.798</v>
      </c>
      <c r="I115" s="3">
        <v>0.583</v>
      </c>
      <c r="J115" s="3">
        <v>0.728</v>
      </c>
      <c r="K115" s="3">
        <v>0.32</v>
      </c>
      <c r="L115" s="1">
        <v>0.779</v>
      </c>
      <c r="M115" s="1">
        <v>0.678</v>
      </c>
      <c r="N115" s="3">
        <v>0.723</v>
      </c>
      <c r="O115" s="4">
        <f t="shared" si="29"/>
        <v>0.6988</v>
      </c>
    </row>
    <row r="116">
      <c r="B116" s="1"/>
      <c r="C116" s="1"/>
      <c r="D116" s="1"/>
      <c r="F116" s="1"/>
      <c r="G116" s="1"/>
      <c r="H116" s="1"/>
      <c r="I116" s="3"/>
      <c r="J116" s="3"/>
      <c r="K116" s="3"/>
      <c r="L116" s="1"/>
      <c r="M116" s="1"/>
      <c r="N116" s="3"/>
      <c r="O116" s="7"/>
    </row>
    <row r="120">
      <c r="B120" s="1"/>
      <c r="C120" s="1"/>
      <c r="D120" s="1"/>
      <c r="F120" s="1"/>
      <c r="G120" s="1"/>
      <c r="H120" s="1"/>
      <c r="I120" s="3"/>
      <c r="J120" s="3"/>
      <c r="K120" s="3"/>
      <c r="L120" s="1"/>
      <c r="M120" s="1"/>
      <c r="N120" s="3"/>
    </row>
    <row r="121">
      <c r="B121" s="1" t="s">
        <v>14</v>
      </c>
      <c r="C121" s="1">
        <v>5.442</v>
      </c>
      <c r="D121" s="1">
        <v>8.346</v>
      </c>
      <c r="E121" s="4">
        <v>0.7220000000000001</v>
      </c>
      <c r="F121" s="1">
        <v>0.505</v>
      </c>
      <c r="G121" s="1">
        <v>0.8</v>
      </c>
      <c r="H121" s="1">
        <v>0.813</v>
      </c>
      <c r="I121" s="3">
        <v>0.601</v>
      </c>
      <c r="J121" s="3">
        <v>0.76</v>
      </c>
      <c r="K121" s="3">
        <v>0.348</v>
      </c>
      <c r="L121" s="1">
        <v>0.796</v>
      </c>
      <c r="M121" s="1">
        <v>0.696</v>
      </c>
      <c r="N121" s="3">
        <v>0.726</v>
      </c>
      <c r="O121" s="4">
        <f t="shared" ref="O121:O124" si="30">AVERAGE(F121,G121,H121,L121,M121)</f>
        <v>0.722</v>
      </c>
    </row>
    <row r="122">
      <c r="B122" s="9" t="s">
        <v>18</v>
      </c>
      <c r="C122" s="1">
        <v>5.906</v>
      </c>
      <c r="D122" s="1">
        <v>9.234</v>
      </c>
      <c r="E122" s="4">
        <v>0.6956</v>
      </c>
      <c r="F122" s="1">
        <v>0.489</v>
      </c>
      <c r="G122" s="1">
        <v>0.784</v>
      </c>
      <c r="H122" s="1">
        <v>0.796</v>
      </c>
      <c r="I122" s="3">
        <v>0.592</v>
      </c>
      <c r="J122" s="3">
        <v>0.745</v>
      </c>
      <c r="K122" s="3">
        <v>0.338</v>
      </c>
      <c r="L122" s="1">
        <v>0.792</v>
      </c>
      <c r="M122" s="1">
        <v>0.617</v>
      </c>
      <c r="N122" s="3">
        <v>0.722</v>
      </c>
      <c r="O122" s="4">
        <f t="shared" si="30"/>
        <v>0.6956</v>
      </c>
    </row>
    <row r="123">
      <c r="B123" s="9" t="s">
        <v>42</v>
      </c>
      <c r="C123" s="1">
        <v>5.885</v>
      </c>
      <c r="D123" s="8">
        <v>9.199</v>
      </c>
      <c r="E123" s="4">
        <v>0.7094000000000001</v>
      </c>
      <c r="F123" s="1">
        <v>0.493</v>
      </c>
      <c r="G123" s="1">
        <v>0.788</v>
      </c>
      <c r="H123" s="1">
        <v>0.799</v>
      </c>
      <c r="I123" s="3">
        <v>0.59</v>
      </c>
      <c r="J123" s="3">
        <v>0.737</v>
      </c>
      <c r="K123" s="3">
        <v>0.336</v>
      </c>
      <c r="L123" s="1">
        <v>0.788</v>
      </c>
      <c r="M123" s="1">
        <v>0.679</v>
      </c>
      <c r="N123" s="11">
        <v>0.728</v>
      </c>
      <c r="O123" s="7">
        <f t="shared" si="30"/>
        <v>0.7094</v>
      </c>
    </row>
    <row r="124">
      <c r="B124" s="9" t="s">
        <v>43</v>
      </c>
      <c r="C124" s="6">
        <v>5.828</v>
      </c>
      <c r="D124" s="5">
        <v>9.3426</v>
      </c>
      <c r="E124" s="4">
        <v>0.71678</v>
      </c>
      <c r="F124" s="8">
        <v>0.5026</v>
      </c>
      <c r="G124" s="8">
        <v>0.7971</v>
      </c>
      <c r="H124" s="8">
        <v>0.8083</v>
      </c>
      <c r="I124" s="11">
        <v>0.5977</v>
      </c>
      <c r="J124" s="11">
        <v>0.744</v>
      </c>
      <c r="K124" s="11">
        <v>0.348</v>
      </c>
      <c r="L124" s="8">
        <v>0.79</v>
      </c>
      <c r="M124" s="8">
        <v>0.6859</v>
      </c>
      <c r="N124" s="3">
        <v>0.7167</v>
      </c>
      <c r="O124" s="7">
        <f t="shared" si="30"/>
        <v>0.71678</v>
      </c>
    </row>
    <row r="125">
      <c r="I125" s="2"/>
      <c r="J125" s="2"/>
      <c r="K125" s="2"/>
      <c r="N125" s="2"/>
    </row>
    <row r="126">
      <c r="I126" s="2"/>
      <c r="J126" s="2"/>
      <c r="K126" s="2"/>
      <c r="N126" s="2"/>
    </row>
    <row r="127">
      <c r="I127" s="2"/>
      <c r="J127" s="2"/>
      <c r="K127" s="2"/>
      <c r="N127" s="2"/>
    </row>
    <row r="128">
      <c r="A128" s="1" t="s">
        <v>15</v>
      </c>
      <c r="B128" s="1" t="s">
        <v>16</v>
      </c>
      <c r="C128" s="5">
        <v>4.9917</v>
      </c>
      <c r="D128" s="5">
        <v>7.8047</v>
      </c>
      <c r="E128" s="4">
        <f t="shared" ref="E128:E129" si="31">AVERAGE(C128,D128)</f>
        <v>6.3982</v>
      </c>
      <c r="F128" s="1">
        <v>0.4761</v>
      </c>
      <c r="G128" s="1">
        <v>0.7875</v>
      </c>
      <c r="H128" s="1">
        <v>0.8248</v>
      </c>
      <c r="I128" s="1">
        <v>0.6075</v>
      </c>
      <c r="J128" s="1">
        <v>0.7372</v>
      </c>
      <c r="K128" s="1">
        <v>0.352</v>
      </c>
      <c r="L128" s="1">
        <v>0.7992</v>
      </c>
      <c r="M128" s="1">
        <v>0.6643</v>
      </c>
      <c r="N128" s="1">
        <v>0.7332</v>
      </c>
      <c r="O128" s="4">
        <f t="shared" ref="O128:O129" si="32">AVERAGE(F128,G128,H128,L128,M128)</f>
        <v>0.71038</v>
      </c>
    </row>
    <row r="129">
      <c r="B129" s="1" t="s">
        <v>17</v>
      </c>
      <c r="C129" s="6">
        <v>4.9704</v>
      </c>
      <c r="D129" s="6">
        <v>7.7167</v>
      </c>
      <c r="E129" s="7">
        <f t="shared" si="31"/>
        <v>6.34355</v>
      </c>
      <c r="F129" s="8">
        <v>0.4804</v>
      </c>
      <c r="G129" s="8">
        <v>0.7934</v>
      </c>
      <c r="H129" s="1">
        <v>0.8202</v>
      </c>
      <c r="I129" s="1"/>
      <c r="J129" s="1"/>
      <c r="K129" s="1"/>
      <c r="L129" s="8">
        <v>0.8014</v>
      </c>
      <c r="M129" s="8">
        <v>0.6751</v>
      </c>
      <c r="N129" s="1"/>
      <c r="O129" s="7">
        <f t="shared" si="32"/>
        <v>0.7141</v>
      </c>
      <c r="P129" s="1"/>
      <c r="Q129" s="1"/>
    </row>
    <row r="130">
      <c r="B130" s="9" t="s">
        <v>18</v>
      </c>
      <c r="C130" s="1">
        <v>4.9948</v>
      </c>
      <c r="D130" s="1">
        <v>7.738</v>
      </c>
      <c r="E130" s="4">
        <v>6.3664000000000005</v>
      </c>
      <c r="F130" s="1">
        <v>0.4744</v>
      </c>
      <c r="G130" s="1">
        <v>0.78872</v>
      </c>
      <c r="H130" s="1">
        <v>0.82752</v>
      </c>
      <c r="L130" s="1">
        <v>0.79869</v>
      </c>
      <c r="M130" s="1">
        <v>0.66065</v>
      </c>
      <c r="O130" s="4">
        <v>0.7099960000000001</v>
      </c>
    </row>
    <row r="131">
      <c r="B131" s="1"/>
      <c r="C131" s="1"/>
      <c r="D131" s="1"/>
      <c r="F131" s="1"/>
      <c r="G131" s="1"/>
      <c r="H131" s="1"/>
      <c r="I131" s="3"/>
      <c r="J131" s="3"/>
      <c r="K131" s="3"/>
      <c r="L131" s="1"/>
      <c r="M131" s="1"/>
      <c r="N131" s="3"/>
    </row>
    <row r="132">
      <c r="B132" s="10" t="s">
        <v>19</v>
      </c>
      <c r="C132" s="1">
        <v>4.975</v>
      </c>
      <c r="D132" s="1">
        <v>7.727</v>
      </c>
      <c r="F132" s="1">
        <v>0.493</v>
      </c>
      <c r="G132" s="1">
        <v>0.794</v>
      </c>
      <c r="H132" s="1">
        <v>0.817</v>
      </c>
      <c r="I132" s="3"/>
      <c r="J132" s="3"/>
      <c r="K132" s="3"/>
      <c r="L132" s="1">
        <v>0.797</v>
      </c>
      <c r="M132" s="1">
        <v>0.671</v>
      </c>
      <c r="N132" s="3">
        <v>0.731</v>
      </c>
      <c r="O132" s="50" t="s">
        <v>44</v>
      </c>
    </row>
    <row r="133">
      <c r="B133" s="1" t="s">
        <v>45</v>
      </c>
      <c r="C133" s="1">
        <v>4.969</v>
      </c>
      <c r="D133" s="5">
        <v>7.7777</v>
      </c>
      <c r="F133" s="1">
        <v>0.495</v>
      </c>
      <c r="G133" s="1">
        <v>0.79</v>
      </c>
      <c r="H133" s="1">
        <v>0.818</v>
      </c>
      <c r="L133" s="8">
        <v>0.803</v>
      </c>
      <c r="M133" s="1">
        <v>0.689</v>
      </c>
      <c r="O133" s="50" t="s">
        <v>46</v>
      </c>
    </row>
    <row r="134">
      <c r="B134" s="1" t="s">
        <v>47</v>
      </c>
      <c r="C134" s="8">
        <v>4.959</v>
      </c>
      <c r="D134" s="5">
        <v>7.7773</v>
      </c>
      <c r="F134" s="8"/>
      <c r="G134" s="8"/>
      <c r="H134" s="8"/>
      <c r="I134" s="3"/>
      <c r="J134" s="11"/>
      <c r="K134" s="3"/>
      <c r="L134" s="1"/>
      <c r="M134" s="8"/>
      <c r="N134" s="3"/>
      <c r="O134" s="8"/>
    </row>
    <row r="135">
      <c r="B135" s="1" t="s">
        <v>48</v>
      </c>
      <c r="C135" s="8">
        <v>4.965</v>
      </c>
      <c r="D135" s="8">
        <v>7.711</v>
      </c>
      <c r="F135" s="8">
        <v>0.495</v>
      </c>
      <c r="G135" s="8">
        <v>0.795</v>
      </c>
      <c r="H135" s="8">
        <v>0.818</v>
      </c>
      <c r="I135" s="3"/>
      <c r="J135" s="11"/>
      <c r="K135" s="3"/>
      <c r="L135" s="1">
        <v>0.802</v>
      </c>
      <c r="M135" s="8">
        <v>0.69</v>
      </c>
      <c r="N135" s="3">
        <v>0.734</v>
      </c>
      <c r="O135" s="51" t="s">
        <v>49</v>
      </c>
    </row>
    <row r="136">
      <c r="I136" s="3"/>
      <c r="J136" s="3"/>
      <c r="K136" s="3"/>
      <c r="N136" s="3"/>
      <c r="O136" s="12"/>
    </row>
    <row r="139">
      <c r="I139" s="2"/>
      <c r="J139" s="2"/>
      <c r="K139" s="2"/>
      <c r="N139" s="2"/>
    </row>
    <row r="140">
      <c r="I140" s="2"/>
      <c r="J140" s="2"/>
      <c r="K140" s="2"/>
      <c r="N140" s="2"/>
    </row>
    <row r="141">
      <c r="I141" s="2"/>
      <c r="J141" s="2"/>
      <c r="K141" s="2"/>
      <c r="N141" s="2"/>
    </row>
    <row r="142">
      <c r="I142" s="2"/>
      <c r="J142" s="2"/>
      <c r="K142" s="2"/>
      <c r="N142" s="2"/>
    </row>
    <row r="143">
      <c r="I143" s="2"/>
      <c r="J143" s="2"/>
      <c r="K143" s="2"/>
      <c r="N143" s="2"/>
    </row>
    <row r="144">
      <c r="I144" s="2"/>
      <c r="J144" s="2"/>
      <c r="K144" s="2"/>
      <c r="N144" s="2"/>
    </row>
    <row r="145">
      <c r="I145" s="2"/>
      <c r="J145" s="2"/>
      <c r="K145" s="2"/>
      <c r="N145" s="2"/>
    </row>
    <row r="146">
      <c r="I146" s="2"/>
      <c r="J146" s="2"/>
      <c r="K146" s="2"/>
      <c r="N146" s="2"/>
    </row>
    <row r="147">
      <c r="I147" s="2"/>
      <c r="J147" s="2"/>
      <c r="K147" s="2"/>
      <c r="N147" s="2"/>
    </row>
    <row r="148">
      <c r="I148" s="2"/>
      <c r="J148" s="2"/>
      <c r="K148" s="2"/>
      <c r="N148" s="2"/>
    </row>
    <row r="149">
      <c r="I149" s="2"/>
      <c r="J149" s="2"/>
      <c r="K149" s="2"/>
      <c r="N149" s="2"/>
    </row>
    <row r="150">
      <c r="I150" s="2"/>
      <c r="J150" s="2"/>
      <c r="K150" s="2"/>
      <c r="N150" s="2"/>
    </row>
    <row r="151">
      <c r="I151" s="2"/>
      <c r="J151" s="2"/>
      <c r="K151" s="2"/>
      <c r="N151" s="2"/>
    </row>
    <row r="152">
      <c r="I152" s="2"/>
      <c r="J152" s="2"/>
      <c r="K152" s="2"/>
      <c r="N152" s="2"/>
    </row>
    <row r="153">
      <c r="I153" s="2"/>
      <c r="J153" s="2"/>
      <c r="K153" s="2"/>
      <c r="N153" s="2"/>
    </row>
    <row r="154">
      <c r="I154" s="2"/>
      <c r="J154" s="2"/>
      <c r="K154" s="2"/>
      <c r="N154" s="2"/>
    </row>
    <row r="155">
      <c r="I155" s="2"/>
      <c r="J155" s="2"/>
      <c r="K155" s="2"/>
      <c r="N155" s="2"/>
    </row>
    <row r="156">
      <c r="I156" s="2"/>
      <c r="J156" s="2"/>
      <c r="K156" s="2"/>
      <c r="N156" s="2"/>
    </row>
    <row r="157">
      <c r="I157" s="2"/>
      <c r="J157" s="2"/>
      <c r="K157" s="2"/>
      <c r="N157" s="2"/>
    </row>
    <row r="158">
      <c r="I158" s="2"/>
      <c r="J158" s="2"/>
      <c r="K158" s="2"/>
      <c r="N158" s="2"/>
    </row>
    <row r="159">
      <c r="I159" s="2"/>
      <c r="J159" s="2"/>
      <c r="K159" s="2"/>
      <c r="N159" s="2"/>
    </row>
    <row r="160">
      <c r="I160" s="2"/>
      <c r="J160" s="2"/>
      <c r="K160" s="2"/>
      <c r="N160" s="2"/>
    </row>
    <row r="161">
      <c r="I161" s="2"/>
      <c r="J161" s="2"/>
      <c r="K161" s="2"/>
      <c r="N161" s="2"/>
    </row>
    <row r="162">
      <c r="I162" s="2"/>
      <c r="J162" s="2"/>
      <c r="K162" s="2"/>
      <c r="N162" s="2"/>
    </row>
    <row r="163">
      <c r="I163" s="2"/>
      <c r="J163" s="2"/>
      <c r="K163" s="2"/>
      <c r="N163" s="2"/>
    </row>
    <row r="164">
      <c r="I164" s="2"/>
      <c r="J164" s="2"/>
      <c r="K164" s="2"/>
      <c r="N164" s="2"/>
    </row>
    <row r="165">
      <c r="I165" s="2"/>
      <c r="J165" s="2"/>
      <c r="K165" s="2"/>
      <c r="N165" s="2"/>
    </row>
    <row r="166">
      <c r="I166" s="2"/>
      <c r="J166" s="2"/>
      <c r="K166" s="2"/>
      <c r="N166" s="2"/>
    </row>
    <row r="167">
      <c r="I167" s="2"/>
      <c r="J167" s="2"/>
      <c r="K167" s="2"/>
      <c r="N167" s="2"/>
    </row>
    <row r="168">
      <c r="I168" s="2"/>
      <c r="J168" s="2"/>
      <c r="K168" s="2"/>
      <c r="N168" s="2"/>
    </row>
    <row r="169">
      <c r="I169" s="2"/>
      <c r="J169" s="2"/>
      <c r="K169" s="2"/>
      <c r="N169" s="2"/>
    </row>
    <row r="170">
      <c r="I170" s="2"/>
      <c r="J170" s="2"/>
      <c r="K170" s="2"/>
      <c r="N170" s="2"/>
    </row>
    <row r="171">
      <c r="I171" s="2"/>
      <c r="J171" s="2"/>
      <c r="K171" s="2"/>
      <c r="N171" s="2"/>
    </row>
    <row r="172">
      <c r="I172" s="2"/>
      <c r="J172" s="2"/>
      <c r="K172" s="2"/>
      <c r="N172" s="2"/>
    </row>
    <row r="173">
      <c r="I173" s="2"/>
      <c r="J173" s="2"/>
      <c r="K173" s="2"/>
      <c r="N173" s="2"/>
    </row>
    <row r="174">
      <c r="I174" s="2"/>
      <c r="J174" s="2"/>
      <c r="K174" s="2"/>
      <c r="N174" s="2"/>
    </row>
    <row r="175">
      <c r="I175" s="2"/>
      <c r="J175" s="2"/>
      <c r="K175" s="2"/>
      <c r="N175" s="2"/>
    </row>
    <row r="176">
      <c r="I176" s="2"/>
      <c r="J176" s="2"/>
      <c r="K176" s="2"/>
      <c r="N176" s="2"/>
    </row>
    <row r="177">
      <c r="I177" s="2"/>
      <c r="J177" s="2"/>
      <c r="K177" s="2"/>
      <c r="N177" s="2"/>
    </row>
    <row r="178">
      <c r="I178" s="2"/>
      <c r="J178" s="2"/>
      <c r="K178" s="2"/>
      <c r="N178" s="2"/>
    </row>
    <row r="179">
      <c r="I179" s="2"/>
      <c r="J179" s="2"/>
      <c r="K179" s="2"/>
      <c r="N179" s="2"/>
    </row>
    <row r="180">
      <c r="I180" s="2"/>
      <c r="J180" s="2"/>
      <c r="K180" s="2"/>
      <c r="N180" s="2"/>
    </row>
    <row r="181">
      <c r="I181" s="2"/>
      <c r="J181" s="2"/>
      <c r="K181" s="2"/>
      <c r="N181" s="2"/>
    </row>
    <row r="182">
      <c r="I182" s="2"/>
      <c r="J182" s="2"/>
      <c r="K182" s="2"/>
      <c r="N182" s="2"/>
    </row>
    <row r="183">
      <c r="I183" s="2"/>
      <c r="J183" s="2"/>
      <c r="K183" s="2"/>
      <c r="N183" s="2"/>
    </row>
    <row r="184">
      <c r="I184" s="2"/>
      <c r="J184" s="2"/>
      <c r="K184" s="2"/>
      <c r="N184" s="2"/>
    </row>
    <row r="185">
      <c r="I185" s="2"/>
      <c r="J185" s="2"/>
      <c r="K185" s="2"/>
      <c r="N185" s="2"/>
    </row>
    <row r="186">
      <c r="I186" s="2"/>
      <c r="J186" s="2"/>
      <c r="K186" s="2"/>
      <c r="N186" s="2"/>
    </row>
    <row r="187">
      <c r="I187" s="2"/>
      <c r="J187" s="2"/>
      <c r="K187" s="2"/>
      <c r="N187" s="2"/>
    </row>
    <row r="188">
      <c r="I188" s="2"/>
      <c r="J188" s="2"/>
      <c r="K188" s="2"/>
      <c r="N188" s="2"/>
    </row>
    <row r="189">
      <c r="I189" s="2"/>
      <c r="J189" s="2"/>
      <c r="K189" s="2"/>
      <c r="N189" s="2"/>
    </row>
    <row r="190">
      <c r="I190" s="2"/>
      <c r="J190" s="2"/>
      <c r="K190" s="2"/>
      <c r="N190" s="2"/>
    </row>
    <row r="191">
      <c r="I191" s="2"/>
      <c r="J191" s="2"/>
      <c r="K191" s="2"/>
      <c r="N191" s="2"/>
    </row>
    <row r="192">
      <c r="I192" s="2"/>
      <c r="J192" s="2"/>
      <c r="K192" s="2"/>
      <c r="N192" s="2"/>
    </row>
    <row r="193">
      <c r="I193" s="2"/>
      <c r="J193" s="2"/>
      <c r="K193" s="2"/>
      <c r="N193" s="2"/>
    </row>
    <row r="194">
      <c r="I194" s="2"/>
      <c r="J194" s="2"/>
      <c r="K194" s="2"/>
      <c r="N194" s="2"/>
    </row>
    <row r="195">
      <c r="I195" s="2"/>
      <c r="J195" s="2"/>
      <c r="K195" s="2"/>
      <c r="N195" s="2"/>
    </row>
    <row r="196">
      <c r="I196" s="2"/>
      <c r="J196" s="2"/>
      <c r="K196" s="2"/>
      <c r="N196" s="2"/>
    </row>
    <row r="197">
      <c r="I197" s="2"/>
      <c r="J197" s="2"/>
      <c r="K197" s="2"/>
      <c r="N197" s="2"/>
    </row>
    <row r="198">
      <c r="I198" s="2"/>
      <c r="J198" s="2"/>
      <c r="K198" s="2"/>
      <c r="N198" s="2"/>
    </row>
    <row r="199">
      <c r="I199" s="2"/>
      <c r="J199" s="2"/>
      <c r="K199" s="2"/>
      <c r="N199" s="2"/>
    </row>
    <row r="200">
      <c r="I200" s="2"/>
      <c r="J200" s="2"/>
      <c r="K200" s="2"/>
      <c r="N200" s="2"/>
    </row>
    <row r="201">
      <c r="I201" s="2"/>
      <c r="J201" s="2"/>
      <c r="K201" s="2"/>
      <c r="N201" s="2"/>
    </row>
    <row r="202">
      <c r="I202" s="2"/>
      <c r="J202" s="2"/>
      <c r="K202" s="2"/>
      <c r="N202" s="2"/>
    </row>
    <row r="203">
      <c r="I203" s="2"/>
      <c r="J203" s="2"/>
      <c r="K203" s="2"/>
      <c r="N203" s="2"/>
    </row>
    <row r="204">
      <c r="I204" s="2"/>
      <c r="J204" s="2"/>
      <c r="K204" s="2"/>
      <c r="N204" s="2"/>
    </row>
    <row r="205">
      <c r="I205" s="2"/>
      <c r="J205" s="2"/>
      <c r="K205" s="2"/>
      <c r="N205" s="2"/>
    </row>
    <row r="206">
      <c r="I206" s="2"/>
      <c r="J206" s="2"/>
      <c r="K206" s="2"/>
      <c r="N206" s="2"/>
    </row>
    <row r="207">
      <c r="I207" s="2"/>
      <c r="J207" s="2"/>
      <c r="K207" s="2"/>
      <c r="N207" s="2"/>
    </row>
    <row r="208">
      <c r="I208" s="2"/>
      <c r="J208" s="2"/>
      <c r="K208" s="2"/>
      <c r="N208" s="2"/>
    </row>
    <row r="209">
      <c r="I209" s="2"/>
      <c r="J209" s="2"/>
      <c r="K209" s="2"/>
      <c r="N209" s="2"/>
    </row>
    <row r="210">
      <c r="I210" s="2"/>
      <c r="J210" s="2"/>
      <c r="K210" s="2"/>
      <c r="N210" s="2"/>
    </row>
    <row r="211">
      <c r="I211" s="2"/>
      <c r="J211" s="2"/>
      <c r="K211" s="2"/>
      <c r="N211" s="2"/>
    </row>
    <row r="212">
      <c r="I212" s="2"/>
      <c r="J212" s="2"/>
      <c r="K212" s="2"/>
      <c r="N212" s="2"/>
    </row>
    <row r="213">
      <c r="I213" s="2"/>
      <c r="J213" s="2"/>
      <c r="K213" s="2"/>
      <c r="N213" s="2"/>
    </row>
    <row r="214">
      <c r="I214" s="2"/>
      <c r="J214" s="2"/>
      <c r="K214" s="2"/>
      <c r="N214" s="2"/>
    </row>
    <row r="215">
      <c r="I215" s="2"/>
      <c r="J215" s="2"/>
      <c r="K215" s="2"/>
      <c r="N215" s="2"/>
    </row>
    <row r="216">
      <c r="I216" s="2"/>
      <c r="J216" s="2"/>
      <c r="K216" s="2"/>
      <c r="N216" s="2"/>
    </row>
    <row r="217">
      <c r="I217" s="2"/>
      <c r="J217" s="2"/>
      <c r="K217" s="2"/>
      <c r="N217" s="2"/>
    </row>
    <row r="218">
      <c r="I218" s="2"/>
      <c r="J218" s="2"/>
      <c r="K218" s="2"/>
      <c r="N218" s="2"/>
    </row>
    <row r="219">
      <c r="I219" s="2"/>
      <c r="J219" s="2"/>
      <c r="K219" s="2"/>
      <c r="N219" s="2"/>
    </row>
    <row r="220">
      <c r="I220" s="2"/>
      <c r="J220" s="2"/>
      <c r="K220" s="2"/>
      <c r="N220" s="2"/>
    </row>
    <row r="221">
      <c r="I221" s="2"/>
      <c r="J221" s="2"/>
      <c r="K221" s="2"/>
      <c r="N221" s="2"/>
    </row>
    <row r="222">
      <c r="I222" s="2"/>
      <c r="J222" s="2"/>
      <c r="K222" s="2"/>
      <c r="N222" s="2"/>
    </row>
    <row r="223">
      <c r="I223" s="2"/>
      <c r="J223" s="2"/>
      <c r="K223" s="2"/>
      <c r="N223" s="2"/>
    </row>
    <row r="224">
      <c r="I224" s="2"/>
      <c r="J224" s="2"/>
      <c r="K224" s="2"/>
      <c r="N224" s="2"/>
    </row>
    <row r="225">
      <c r="I225" s="2"/>
      <c r="J225" s="2"/>
      <c r="K225" s="2"/>
      <c r="N225" s="2"/>
    </row>
    <row r="226">
      <c r="I226" s="2"/>
      <c r="J226" s="2"/>
      <c r="K226" s="2"/>
      <c r="N226" s="2"/>
    </row>
    <row r="227">
      <c r="I227" s="2"/>
      <c r="J227" s="2"/>
      <c r="K227" s="2"/>
      <c r="N227" s="2"/>
    </row>
    <row r="228">
      <c r="I228" s="2"/>
      <c r="J228" s="2"/>
      <c r="K228" s="2"/>
      <c r="N228" s="2"/>
    </row>
    <row r="229">
      <c r="I229" s="2"/>
      <c r="J229" s="2"/>
      <c r="K229" s="2"/>
      <c r="N229" s="2"/>
    </row>
    <row r="230">
      <c r="I230" s="2"/>
      <c r="J230" s="2"/>
      <c r="K230" s="2"/>
      <c r="N230" s="2"/>
    </row>
    <row r="231">
      <c r="I231" s="2"/>
      <c r="J231" s="2"/>
      <c r="K231" s="2"/>
      <c r="N231" s="2"/>
    </row>
    <row r="232">
      <c r="I232" s="2"/>
      <c r="J232" s="2"/>
      <c r="K232" s="2"/>
      <c r="N232" s="2"/>
    </row>
    <row r="233">
      <c r="I233" s="2"/>
      <c r="J233" s="2"/>
      <c r="K233" s="2"/>
      <c r="N233" s="2"/>
    </row>
    <row r="234">
      <c r="I234" s="2"/>
      <c r="J234" s="2"/>
      <c r="K234" s="2"/>
      <c r="N234" s="2"/>
    </row>
    <row r="235">
      <c r="I235" s="2"/>
      <c r="J235" s="2"/>
      <c r="K235" s="2"/>
      <c r="N235" s="2"/>
    </row>
    <row r="236">
      <c r="I236" s="2"/>
      <c r="J236" s="2"/>
      <c r="K236" s="2"/>
      <c r="N236" s="2"/>
    </row>
    <row r="237">
      <c r="I237" s="2"/>
      <c r="J237" s="2"/>
      <c r="K237" s="2"/>
      <c r="N237" s="2"/>
    </row>
    <row r="238">
      <c r="I238" s="2"/>
      <c r="J238" s="2"/>
      <c r="K238" s="2"/>
      <c r="N238" s="2"/>
    </row>
    <row r="239">
      <c r="I239" s="2"/>
      <c r="J239" s="2"/>
      <c r="K239" s="2"/>
      <c r="N239" s="2"/>
    </row>
    <row r="240">
      <c r="I240" s="2"/>
      <c r="J240" s="2"/>
      <c r="K240" s="2"/>
      <c r="N240" s="2"/>
    </row>
    <row r="241">
      <c r="I241" s="2"/>
      <c r="J241" s="2"/>
      <c r="K241" s="2"/>
      <c r="N241" s="2"/>
    </row>
    <row r="242">
      <c r="I242" s="2"/>
      <c r="J242" s="2"/>
      <c r="K242" s="2"/>
      <c r="N242" s="2"/>
    </row>
    <row r="243">
      <c r="I243" s="2"/>
      <c r="J243" s="2"/>
      <c r="K243" s="2"/>
      <c r="N243" s="2"/>
    </row>
    <row r="244">
      <c r="I244" s="2"/>
      <c r="J244" s="2"/>
      <c r="K244" s="2"/>
      <c r="N244" s="2"/>
    </row>
    <row r="245">
      <c r="I245" s="2"/>
      <c r="J245" s="2"/>
      <c r="K245" s="2"/>
      <c r="N245" s="2"/>
    </row>
    <row r="246">
      <c r="I246" s="2"/>
      <c r="J246" s="2"/>
      <c r="K246" s="2"/>
      <c r="N246" s="2"/>
    </row>
    <row r="247">
      <c r="I247" s="2"/>
      <c r="J247" s="2"/>
      <c r="K247" s="2"/>
      <c r="N247" s="2"/>
    </row>
    <row r="248">
      <c r="I248" s="2"/>
      <c r="J248" s="2"/>
      <c r="K248" s="2"/>
      <c r="N248" s="2"/>
    </row>
    <row r="249">
      <c r="I249" s="2"/>
      <c r="J249" s="2"/>
      <c r="K249" s="2"/>
      <c r="N249" s="2"/>
    </row>
    <row r="250">
      <c r="I250" s="2"/>
      <c r="J250" s="2"/>
      <c r="K250" s="2"/>
      <c r="N250" s="2"/>
    </row>
    <row r="251">
      <c r="I251" s="2"/>
      <c r="J251" s="2"/>
      <c r="K251" s="2"/>
      <c r="N251" s="2"/>
    </row>
    <row r="252">
      <c r="I252" s="2"/>
      <c r="J252" s="2"/>
      <c r="K252" s="2"/>
      <c r="N252" s="2"/>
    </row>
    <row r="253">
      <c r="I253" s="2"/>
      <c r="J253" s="2"/>
      <c r="K253" s="2"/>
      <c r="N253" s="2"/>
    </row>
    <row r="254">
      <c r="I254" s="2"/>
      <c r="J254" s="2"/>
      <c r="K254" s="2"/>
      <c r="N254" s="2"/>
    </row>
    <row r="255">
      <c r="I255" s="2"/>
      <c r="J255" s="2"/>
      <c r="K255" s="2"/>
      <c r="N255" s="2"/>
    </row>
    <row r="256">
      <c r="I256" s="2"/>
      <c r="J256" s="2"/>
      <c r="K256" s="2"/>
      <c r="N256" s="2"/>
    </row>
    <row r="257">
      <c r="I257" s="2"/>
      <c r="J257" s="2"/>
      <c r="K257" s="2"/>
      <c r="N257" s="2"/>
    </row>
    <row r="258">
      <c r="I258" s="2"/>
      <c r="J258" s="2"/>
      <c r="K258" s="2"/>
      <c r="N258" s="2"/>
    </row>
    <row r="259">
      <c r="I259" s="2"/>
      <c r="J259" s="2"/>
      <c r="K259" s="2"/>
      <c r="N259" s="2"/>
    </row>
    <row r="260">
      <c r="I260" s="2"/>
      <c r="J260" s="2"/>
      <c r="K260" s="2"/>
      <c r="N260" s="2"/>
    </row>
    <row r="261">
      <c r="I261" s="2"/>
      <c r="J261" s="2"/>
      <c r="K261" s="2"/>
      <c r="N261" s="2"/>
    </row>
    <row r="262">
      <c r="I262" s="2"/>
      <c r="J262" s="2"/>
      <c r="K262" s="2"/>
      <c r="N262" s="2"/>
    </row>
    <row r="263">
      <c r="I263" s="2"/>
      <c r="J263" s="2"/>
      <c r="K263" s="2"/>
      <c r="N263" s="2"/>
    </row>
    <row r="264">
      <c r="I264" s="2"/>
      <c r="J264" s="2"/>
      <c r="K264" s="2"/>
      <c r="N264" s="2"/>
    </row>
    <row r="265">
      <c r="I265" s="2"/>
      <c r="J265" s="2"/>
      <c r="K265" s="2"/>
      <c r="N265" s="2"/>
    </row>
    <row r="266">
      <c r="I266" s="2"/>
      <c r="J266" s="2"/>
      <c r="K266" s="2"/>
      <c r="N266" s="2"/>
    </row>
    <row r="267">
      <c r="I267" s="2"/>
      <c r="J267" s="2"/>
      <c r="K267" s="2"/>
      <c r="N267" s="2"/>
    </row>
    <row r="268">
      <c r="I268" s="2"/>
      <c r="J268" s="2"/>
      <c r="K268" s="2"/>
      <c r="N268" s="2"/>
    </row>
    <row r="269">
      <c r="I269" s="2"/>
      <c r="J269" s="2"/>
      <c r="K269" s="2"/>
      <c r="N269" s="2"/>
    </row>
    <row r="270">
      <c r="I270" s="2"/>
      <c r="J270" s="2"/>
      <c r="K270" s="2"/>
      <c r="N270" s="2"/>
    </row>
    <row r="271">
      <c r="I271" s="2"/>
      <c r="J271" s="2"/>
      <c r="K271" s="2"/>
      <c r="N271" s="2"/>
    </row>
    <row r="272">
      <c r="I272" s="2"/>
      <c r="J272" s="2"/>
      <c r="K272" s="2"/>
      <c r="N272" s="2"/>
    </row>
    <row r="273">
      <c r="I273" s="2"/>
      <c r="J273" s="2"/>
      <c r="K273" s="2"/>
      <c r="N273" s="2"/>
    </row>
    <row r="274">
      <c r="I274" s="2"/>
      <c r="J274" s="2"/>
      <c r="K274" s="2"/>
      <c r="N274" s="2"/>
    </row>
    <row r="275">
      <c r="I275" s="2"/>
      <c r="J275" s="2"/>
      <c r="K275" s="2"/>
      <c r="N275" s="2"/>
    </row>
    <row r="276">
      <c r="I276" s="2"/>
      <c r="J276" s="2"/>
      <c r="K276" s="2"/>
      <c r="N276" s="2"/>
    </row>
    <row r="277">
      <c r="I277" s="2"/>
      <c r="J277" s="2"/>
      <c r="K277" s="2"/>
      <c r="N277" s="2"/>
    </row>
    <row r="278">
      <c r="I278" s="2"/>
      <c r="J278" s="2"/>
      <c r="K278" s="2"/>
      <c r="N278" s="2"/>
    </row>
    <row r="279">
      <c r="I279" s="2"/>
      <c r="J279" s="2"/>
      <c r="K279" s="2"/>
      <c r="N279" s="2"/>
    </row>
    <row r="280">
      <c r="I280" s="2"/>
      <c r="J280" s="2"/>
      <c r="K280" s="2"/>
      <c r="N280" s="2"/>
    </row>
    <row r="281">
      <c r="I281" s="2"/>
      <c r="J281" s="2"/>
      <c r="K281" s="2"/>
      <c r="N281" s="2"/>
    </row>
    <row r="282">
      <c r="I282" s="2"/>
      <c r="J282" s="2"/>
      <c r="K282" s="2"/>
      <c r="N282" s="2"/>
    </row>
    <row r="283">
      <c r="I283" s="2"/>
      <c r="J283" s="2"/>
      <c r="K283" s="2"/>
      <c r="N283" s="2"/>
    </row>
    <row r="284">
      <c r="I284" s="2"/>
      <c r="J284" s="2"/>
      <c r="K284" s="2"/>
      <c r="N284" s="2"/>
    </row>
    <row r="285">
      <c r="I285" s="2"/>
      <c r="J285" s="2"/>
      <c r="K285" s="2"/>
      <c r="N285" s="2"/>
    </row>
    <row r="286">
      <c r="I286" s="2"/>
      <c r="J286" s="2"/>
      <c r="K286" s="2"/>
      <c r="N286" s="2"/>
    </row>
    <row r="287">
      <c r="I287" s="2"/>
      <c r="J287" s="2"/>
      <c r="K287" s="2"/>
      <c r="N287" s="2"/>
    </row>
    <row r="288">
      <c r="I288" s="2"/>
      <c r="J288" s="2"/>
      <c r="K288" s="2"/>
      <c r="N288" s="2"/>
    </row>
    <row r="289">
      <c r="I289" s="2"/>
      <c r="J289" s="2"/>
      <c r="K289" s="2"/>
      <c r="N289" s="2"/>
    </row>
    <row r="290">
      <c r="I290" s="2"/>
      <c r="J290" s="2"/>
      <c r="K290" s="2"/>
      <c r="N290" s="2"/>
    </row>
    <row r="291">
      <c r="I291" s="2"/>
      <c r="J291" s="2"/>
      <c r="K291" s="2"/>
      <c r="N291" s="2"/>
    </row>
    <row r="292">
      <c r="I292" s="2"/>
      <c r="J292" s="2"/>
      <c r="K292" s="2"/>
      <c r="N292" s="2"/>
    </row>
    <row r="293">
      <c r="I293" s="2"/>
      <c r="J293" s="2"/>
      <c r="K293" s="2"/>
      <c r="N293" s="2"/>
    </row>
    <row r="294">
      <c r="I294" s="2"/>
      <c r="J294" s="2"/>
      <c r="K294" s="2"/>
      <c r="N294" s="2"/>
    </row>
    <row r="295">
      <c r="I295" s="2"/>
      <c r="J295" s="2"/>
      <c r="K295" s="2"/>
      <c r="N295" s="2"/>
    </row>
    <row r="296">
      <c r="I296" s="2"/>
      <c r="J296" s="2"/>
      <c r="K296" s="2"/>
      <c r="N296" s="2"/>
    </row>
    <row r="297">
      <c r="I297" s="2"/>
      <c r="J297" s="2"/>
      <c r="K297" s="2"/>
      <c r="N297" s="2"/>
    </row>
    <row r="298">
      <c r="I298" s="2"/>
      <c r="J298" s="2"/>
      <c r="K298" s="2"/>
      <c r="N298" s="2"/>
    </row>
    <row r="299">
      <c r="I299" s="2"/>
      <c r="J299" s="2"/>
      <c r="K299" s="2"/>
      <c r="N299" s="2"/>
    </row>
    <row r="300">
      <c r="I300" s="2"/>
      <c r="J300" s="2"/>
      <c r="K300" s="2"/>
      <c r="N300" s="2"/>
    </row>
    <row r="301">
      <c r="I301" s="2"/>
      <c r="J301" s="2"/>
      <c r="K301" s="2"/>
      <c r="N301" s="2"/>
    </row>
    <row r="302">
      <c r="I302" s="2"/>
      <c r="J302" s="2"/>
      <c r="K302" s="2"/>
      <c r="N302" s="2"/>
    </row>
    <row r="303">
      <c r="I303" s="2"/>
      <c r="J303" s="2"/>
      <c r="K303" s="2"/>
      <c r="N303" s="2"/>
    </row>
    <row r="304">
      <c r="I304" s="2"/>
      <c r="J304" s="2"/>
      <c r="K304" s="2"/>
      <c r="N304" s="2"/>
    </row>
    <row r="305">
      <c r="I305" s="2"/>
      <c r="J305" s="2"/>
      <c r="K305" s="2"/>
      <c r="N305" s="2"/>
    </row>
    <row r="306">
      <c r="I306" s="2"/>
      <c r="J306" s="2"/>
      <c r="K306" s="2"/>
      <c r="N306" s="2"/>
    </row>
    <row r="307">
      <c r="I307" s="2"/>
      <c r="J307" s="2"/>
      <c r="K307" s="2"/>
      <c r="N307" s="2"/>
    </row>
    <row r="308">
      <c r="I308" s="2"/>
      <c r="J308" s="2"/>
      <c r="K308" s="2"/>
      <c r="N308" s="2"/>
    </row>
    <row r="309">
      <c r="I309" s="2"/>
      <c r="J309" s="2"/>
      <c r="K309" s="2"/>
      <c r="N309" s="2"/>
    </row>
    <row r="310">
      <c r="I310" s="2"/>
      <c r="J310" s="2"/>
      <c r="K310" s="2"/>
      <c r="N310" s="2"/>
    </row>
    <row r="311">
      <c r="I311" s="2"/>
      <c r="J311" s="2"/>
      <c r="K311" s="2"/>
      <c r="N311" s="2"/>
    </row>
    <row r="312">
      <c r="I312" s="2"/>
      <c r="J312" s="2"/>
      <c r="K312" s="2"/>
      <c r="N312" s="2"/>
    </row>
    <row r="313">
      <c r="I313" s="2"/>
      <c r="J313" s="2"/>
      <c r="K313" s="2"/>
      <c r="N313" s="2"/>
    </row>
    <row r="314">
      <c r="I314" s="2"/>
      <c r="J314" s="2"/>
      <c r="K314" s="2"/>
      <c r="N314" s="2"/>
    </row>
    <row r="315">
      <c r="I315" s="2"/>
      <c r="J315" s="2"/>
      <c r="K315" s="2"/>
      <c r="N315" s="2"/>
    </row>
    <row r="316">
      <c r="I316" s="2"/>
      <c r="J316" s="2"/>
      <c r="K316" s="2"/>
      <c r="N316" s="2"/>
    </row>
    <row r="317">
      <c r="I317" s="2"/>
      <c r="J317" s="2"/>
      <c r="K317" s="2"/>
      <c r="N317" s="2"/>
    </row>
    <row r="318">
      <c r="I318" s="2"/>
      <c r="J318" s="2"/>
      <c r="K318" s="2"/>
      <c r="N318" s="2"/>
    </row>
    <row r="319">
      <c r="I319" s="2"/>
      <c r="J319" s="2"/>
      <c r="K319" s="2"/>
      <c r="N319" s="2"/>
    </row>
    <row r="320">
      <c r="I320" s="2"/>
      <c r="J320" s="2"/>
      <c r="K320" s="2"/>
      <c r="N320" s="2"/>
    </row>
    <row r="321">
      <c r="I321" s="2"/>
      <c r="J321" s="2"/>
      <c r="K321" s="2"/>
      <c r="N321" s="2"/>
    </row>
    <row r="322">
      <c r="I322" s="2"/>
      <c r="J322" s="2"/>
      <c r="K322" s="2"/>
      <c r="N322" s="2"/>
    </row>
    <row r="323">
      <c r="I323" s="2"/>
      <c r="J323" s="2"/>
      <c r="K323" s="2"/>
      <c r="N323" s="2"/>
    </row>
    <row r="324">
      <c r="I324" s="2"/>
      <c r="J324" s="2"/>
      <c r="K324" s="2"/>
      <c r="N324" s="2"/>
    </row>
    <row r="325">
      <c r="I325" s="2"/>
      <c r="J325" s="2"/>
      <c r="K325" s="2"/>
      <c r="N325" s="2"/>
    </row>
    <row r="326">
      <c r="I326" s="2"/>
      <c r="J326" s="2"/>
      <c r="K326" s="2"/>
      <c r="N326" s="2"/>
    </row>
    <row r="327">
      <c r="I327" s="2"/>
      <c r="J327" s="2"/>
      <c r="K327" s="2"/>
      <c r="N327" s="2"/>
    </row>
    <row r="328">
      <c r="I328" s="2"/>
      <c r="J328" s="2"/>
      <c r="K328" s="2"/>
      <c r="N328" s="2"/>
    </row>
    <row r="329">
      <c r="I329" s="2"/>
      <c r="J329" s="2"/>
      <c r="K329" s="2"/>
      <c r="N329" s="2"/>
    </row>
    <row r="330">
      <c r="I330" s="2"/>
      <c r="J330" s="2"/>
      <c r="K330" s="2"/>
      <c r="N330" s="2"/>
    </row>
    <row r="331">
      <c r="I331" s="2"/>
      <c r="J331" s="2"/>
      <c r="K331" s="2"/>
      <c r="N331" s="2"/>
    </row>
    <row r="332">
      <c r="I332" s="2"/>
      <c r="J332" s="2"/>
      <c r="K332" s="2"/>
      <c r="N332" s="2"/>
    </row>
    <row r="333">
      <c r="I333" s="2"/>
      <c r="J333" s="2"/>
      <c r="K333" s="2"/>
      <c r="N333" s="2"/>
    </row>
    <row r="334">
      <c r="I334" s="2"/>
      <c r="J334" s="2"/>
      <c r="K334" s="2"/>
      <c r="N334" s="2"/>
    </row>
    <row r="335">
      <c r="I335" s="2"/>
      <c r="J335" s="2"/>
      <c r="K335" s="2"/>
      <c r="N335" s="2"/>
    </row>
    <row r="336">
      <c r="I336" s="2"/>
      <c r="J336" s="2"/>
      <c r="K336" s="2"/>
      <c r="N336" s="2"/>
    </row>
    <row r="337">
      <c r="I337" s="2"/>
      <c r="J337" s="2"/>
      <c r="K337" s="2"/>
      <c r="N337" s="2"/>
    </row>
    <row r="338">
      <c r="I338" s="2"/>
      <c r="J338" s="2"/>
      <c r="K338" s="2"/>
      <c r="N338" s="2"/>
    </row>
    <row r="339">
      <c r="I339" s="2"/>
      <c r="J339" s="2"/>
      <c r="K339" s="2"/>
      <c r="N339" s="2"/>
    </row>
    <row r="340">
      <c r="I340" s="2"/>
      <c r="J340" s="2"/>
      <c r="K340" s="2"/>
      <c r="N340" s="2"/>
    </row>
    <row r="341">
      <c r="I341" s="2"/>
      <c r="J341" s="2"/>
      <c r="K341" s="2"/>
      <c r="N341" s="2"/>
    </row>
    <row r="342">
      <c r="I342" s="2"/>
      <c r="J342" s="2"/>
      <c r="K342" s="2"/>
      <c r="N342" s="2"/>
    </row>
    <row r="343">
      <c r="I343" s="2"/>
      <c r="J343" s="2"/>
      <c r="K343" s="2"/>
      <c r="N343" s="2"/>
    </row>
    <row r="344">
      <c r="I344" s="2"/>
      <c r="J344" s="2"/>
      <c r="K344" s="2"/>
      <c r="N344" s="2"/>
    </row>
    <row r="345">
      <c r="I345" s="2"/>
      <c r="J345" s="2"/>
      <c r="K345" s="2"/>
      <c r="N345" s="2"/>
    </row>
    <row r="346">
      <c r="I346" s="2"/>
      <c r="J346" s="2"/>
      <c r="K346" s="2"/>
      <c r="N346" s="2"/>
    </row>
    <row r="347">
      <c r="I347" s="2"/>
      <c r="J347" s="2"/>
      <c r="K347" s="2"/>
      <c r="N347" s="2"/>
    </row>
    <row r="348">
      <c r="I348" s="2"/>
      <c r="J348" s="2"/>
      <c r="K348" s="2"/>
      <c r="N348" s="2"/>
    </row>
    <row r="349">
      <c r="I349" s="2"/>
      <c r="J349" s="2"/>
      <c r="K349" s="2"/>
      <c r="N349" s="2"/>
    </row>
    <row r="350">
      <c r="I350" s="2"/>
      <c r="J350" s="2"/>
      <c r="K350" s="2"/>
      <c r="N350" s="2"/>
    </row>
    <row r="351">
      <c r="I351" s="2"/>
      <c r="J351" s="2"/>
      <c r="K351" s="2"/>
      <c r="N351" s="2"/>
    </row>
    <row r="352">
      <c r="I352" s="2"/>
      <c r="J352" s="2"/>
      <c r="K352" s="2"/>
      <c r="N352" s="2"/>
    </row>
    <row r="353">
      <c r="I353" s="2"/>
      <c r="J353" s="2"/>
      <c r="K353" s="2"/>
      <c r="N353" s="2"/>
    </row>
    <row r="354">
      <c r="I354" s="2"/>
      <c r="J354" s="2"/>
      <c r="K354" s="2"/>
      <c r="N354" s="2"/>
    </row>
    <row r="355">
      <c r="I355" s="2"/>
      <c r="J355" s="2"/>
      <c r="K355" s="2"/>
      <c r="N355" s="2"/>
    </row>
    <row r="356">
      <c r="I356" s="2"/>
      <c r="J356" s="2"/>
      <c r="K356" s="2"/>
      <c r="N356" s="2"/>
    </row>
    <row r="357">
      <c r="I357" s="2"/>
      <c r="J357" s="2"/>
      <c r="K357" s="2"/>
      <c r="N357" s="2"/>
    </row>
    <row r="358">
      <c r="I358" s="2"/>
      <c r="J358" s="2"/>
      <c r="K358" s="2"/>
      <c r="N358" s="2"/>
    </row>
    <row r="359">
      <c r="I359" s="2"/>
      <c r="J359" s="2"/>
      <c r="K359" s="2"/>
      <c r="N359" s="2"/>
    </row>
    <row r="360">
      <c r="I360" s="2"/>
      <c r="J360" s="2"/>
      <c r="K360" s="2"/>
      <c r="N360" s="2"/>
    </row>
    <row r="361">
      <c r="I361" s="2"/>
      <c r="J361" s="2"/>
      <c r="K361" s="2"/>
      <c r="N361" s="2"/>
    </row>
    <row r="362">
      <c r="I362" s="2"/>
      <c r="J362" s="2"/>
      <c r="K362" s="2"/>
      <c r="N362" s="2"/>
    </row>
    <row r="363">
      <c r="I363" s="2"/>
      <c r="J363" s="2"/>
      <c r="K363" s="2"/>
      <c r="N363" s="2"/>
    </row>
    <row r="364">
      <c r="I364" s="2"/>
      <c r="J364" s="2"/>
      <c r="K364" s="2"/>
      <c r="N364" s="2"/>
    </row>
    <row r="365">
      <c r="I365" s="2"/>
      <c r="J365" s="2"/>
      <c r="K365" s="2"/>
      <c r="N365" s="2"/>
    </row>
    <row r="366">
      <c r="I366" s="2"/>
      <c r="J366" s="2"/>
      <c r="K366" s="2"/>
      <c r="N366" s="2"/>
    </row>
    <row r="367">
      <c r="I367" s="2"/>
      <c r="J367" s="2"/>
      <c r="K367" s="2"/>
      <c r="N367" s="2"/>
    </row>
    <row r="368">
      <c r="I368" s="2"/>
      <c r="J368" s="2"/>
      <c r="K368" s="2"/>
      <c r="N368" s="2"/>
    </row>
    <row r="369">
      <c r="I369" s="2"/>
      <c r="J369" s="2"/>
      <c r="K369" s="2"/>
      <c r="N369" s="2"/>
    </row>
    <row r="370">
      <c r="I370" s="2"/>
      <c r="J370" s="2"/>
      <c r="K370" s="2"/>
      <c r="N370" s="2"/>
    </row>
    <row r="371">
      <c r="I371" s="2"/>
      <c r="J371" s="2"/>
      <c r="K371" s="2"/>
      <c r="N371" s="2"/>
    </row>
    <row r="372">
      <c r="I372" s="2"/>
      <c r="J372" s="2"/>
      <c r="K372" s="2"/>
      <c r="N372" s="2"/>
    </row>
    <row r="373">
      <c r="I373" s="2"/>
      <c r="J373" s="2"/>
      <c r="K373" s="2"/>
      <c r="N373" s="2"/>
    </row>
    <row r="374">
      <c r="I374" s="2"/>
      <c r="J374" s="2"/>
      <c r="K374" s="2"/>
      <c r="N374" s="2"/>
    </row>
    <row r="375">
      <c r="I375" s="2"/>
      <c r="J375" s="2"/>
      <c r="K375" s="2"/>
      <c r="N375" s="2"/>
    </row>
    <row r="376">
      <c r="I376" s="2"/>
      <c r="J376" s="2"/>
      <c r="K376" s="2"/>
      <c r="N376" s="2"/>
    </row>
    <row r="377">
      <c r="I377" s="2"/>
      <c r="J377" s="2"/>
      <c r="K377" s="2"/>
      <c r="N377" s="2"/>
    </row>
    <row r="378">
      <c r="I378" s="2"/>
      <c r="J378" s="2"/>
      <c r="K378" s="2"/>
      <c r="N378" s="2"/>
    </row>
    <row r="379">
      <c r="I379" s="2"/>
      <c r="J379" s="2"/>
      <c r="K379" s="2"/>
      <c r="N379" s="2"/>
    </row>
    <row r="380">
      <c r="I380" s="2"/>
      <c r="J380" s="2"/>
      <c r="K380" s="2"/>
      <c r="N380" s="2"/>
    </row>
    <row r="381">
      <c r="I381" s="2"/>
      <c r="J381" s="2"/>
      <c r="K381" s="2"/>
      <c r="N381" s="2"/>
    </row>
    <row r="382">
      <c r="I382" s="2"/>
      <c r="J382" s="2"/>
      <c r="K382" s="2"/>
      <c r="N382" s="2"/>
    </row>
    <row r="383">
      <c r="I383" s="2"/>
      <c r="J383" s="2"/>
      <c r="K383" s="2"/>
      <c r="N383" s="2"/>
    </row>
    <row r="384">
      <c r="I384" s="2"/>
      <c r="J384" s="2"/>
      <c r="K384" s="2"/>
      <c r="N384" s="2"/>
    </row>
    <row r="385">
      <c r="I385" s="2"/>
      <c r="J385" s="2"/>
      <c r="K385" s="2"/>
      <c r="N385" s="2"/>
    </row>
    <row r="386">
      <c r="I386" s="2"/>
      <c r="J386" s="2"/>
      <c r="K386" s="2"/>
      <c r="N386" s="2"/>
    </row>
    <row r="387">
      <c r="I387" s="2"/>
      <c r="J387" s="2"/>
      <c r="K387" s="2"/>
      <c r="N387" s="2"/>
    </row>
    <row r="388">
      <c r="I388" s="2"/>
      <c r="J388" s="2"/>
      <c r="K388" s="2"/>
      <c r="N388" s="2"/>
    </row>
    <row r="389">
      <c r="I389" s="2"/>
      <c r="J389" s="2"/>
      <c r="K389" s="2"/>
      <c r="N389" s="2"/>
    </row>
    <row r="390">
      <c r="I390" s="2"/>
      <c r="J390" s="2"/>
      <c r="K390" s="2"/>
      <c r="N390" s="2"/>
    </row>
    <row r="391">
      <c r="I391" s="2"/>
      <c r="J391" s="2"/>
      <c r="K391" s="2"/>
      <c r="N391" s="2"/>
    </row>
    <row r="392">
      <c r="I392" s="2"/>
      <c r="J392" s="2"/>
      <c r="K392" s="2"/>
      <c r="N392" s="2"/>
    </row>
    <row r="393">
      <c r="I393" s="2"/>
      <c r="J393" s="2"/>
      <c r="K393" s="2"/>
      <c r="N393" s="2"/>
    </row>
    <row r="394">
      <c r="I394" s="2"/>
      <c r="J394" s="2"/>
      <c r="K394" s="2"/>
      <c r="N394" s="2"/>
    </row>
    <row r="395">
      <c r="I395" s="2"/>
      <c r="J395" s="2"/>
      <c r="K395" s="2"/>
      <c r="N395" s="2"/>
    </row>
    <row r="396">
      <c r="I396" s="2"/>
      <c r="J396" s="2"/>
      <c r="K396" s="2"/>
      <c r="N396" s="2"/>
    </row>
    <row r="397">
      <c r="I397" s="2"/>
      <c r="J397" s="2"/>
      <c r="K397" s="2"/>
      <c r="N397" s="2"/>
    </row>
    <row r="398">
      <c r="I398" s="2"/>
      <c r="J398" s="2"/>
      <c r="K398" s="2"/>
      <c r="N398" s="2"/>
    </row>
    <row r="399">
      <c r="I399" s="2"/>
      <c r="J399" s="2"/>
      <c r="K399" s="2"/>
      <c r="N399" s="2"/>
    </row>
    <row r="400">
      <c r="I400" s="2"/>
      <c r="J400" s="2"/>
      <c r="K400" s="2"/>
      <c r="N400" s="2"/>
    </row>
    <row r="401">
      <c r="I401" s="2"/>
      <c r="J401" s="2"/>
      <c r="K401" s="2"/>
      <c r="N401" s="2"/>
    </row>
    <row r="402">
      <c r="I402" s="2"/>
      <c r="J402" s="2"/>
      <c r="K402" s="2"/>
      <c r="N402" s="2"/>
    </row>
    <row r="403">
      <c r="I403" s="2"/>
      <c r="J403" s="2"/>
      <c r="K403" s="2"/>
      <c r="N403" s="2"/>
    </row>
    <row r="404">
      <c r="I404" s="2"/>
      <c r="J404" s="2"/>
      <c r="K404" s="2"/>
      <c r="N404" s="2"/>
    </row>
    <row r="405">
      <c r="I405" s="2"/>
      <c r="J405" s="2"/>
      <c r="K405" s="2"/>
      <c r="N405" s="2"/>
    </row>
    <row r="406">
      <c r="I406" s="2"/>
      <c r="J406" s="2"/>
      <c r="K406" s="2"/>
      <c r="N406" s="2"/>
    </row>
    <row r="407">
      <c r="I407" s="2"/>
      <c r="J407" s="2"/>
      <c r="K407" s="2"/>
      <c r="N407" s="2"/>
    </row>
    <row r="408">
      <c r="I408" s="2"/>
      <c r="J408" s="2"/>
      <c r="K408" s="2"/>
      <c r="N408" s="2"/>
    </row>
    <row r="409">
      <c r="I409" s="2"/>
      <c r="J409" s="2"/>
      <c r="K409" s="2"/>
      <c r="N409" s="2"/>
    </row>
    <row r="410">
      <c r="I410" s="2"/>
      <c r="J410" s="2"/>
      <c r="K410" s="2"/>
      <c r="N410" s="2"/>
    </row>
    <row r="411">
      <c r="I411" s="2"/>
      <c r="J411" s="2"/>
      <c r="K411" s="2"/>
      <c r="N411" s="2"/>
    </row>
    <row r="412">
      <c r="I412" s="2"/>
      <c r="J412" s="2"/>
      <c r="K412" s="2"/>
      <c r="N412" s="2"/>
    </row>
    <row r="413">
      <c r="I413" s="2"/>
      <c r="J413" s="2"/>
      <c r="K413" s="2"/>
      <c r="N413" s="2"/>
    </row>
    <row r="414">
      <c r="I414" s="2"/>
      <c r="J414" s="2"/>
      <c r="K414" s="2"/>
      <c r="N414" s="2"/>
    </row>
    <row r="415">
      <c r="I415" s="2"/>
      <c r="J415" s="2"/>
      <c r="K415" s="2"/>
      <c r="N415" s="2"/>
    </row>
    <row r="416">
      <c r="I416" s="2"/>
      <c r="J416" s="2"/>
      <c r="K416" s="2"/>
      <c r="N416" s="2"/>
    </row>
    <row r="417">
      <c r="I417" s="2"/>
      <c r="J417" s="2"/>
      <c r="K417" s="2"/>
      <c r="N417" s="2"/>
    </row>
    <row r="418">
      <c r="I418" s="2"/>
      <c r="J418" s="2"/>
      <c r="K418" s="2"/>
      <c r="N418" s="2"/>
    </row>
    <row r="419">
      <c r="I419" s="2"/>
      <c r="J419" s="2"/>
      <c r="K419" s="2"/>
      <c r="N419" s="2"/>
    </row>
    <row r="420">
      <c r="I420" s="2"/>
      <c r="J420" s="2"/>
      <c r="K420" s="2"/>
      <c r="N420" s="2"/>
    </row>
    <row r="421">
      <c r="I421" s="2"/>
      <c r="J421" s="2"/>
      <c r="K421" s="2"/>
      <c r="N421" s="2"/>
    </row>
    <row r="422">
      <c r="I422" s="2"/>
      <c r="J422" s="2"/>
      <c r="K422" s="2"/>
      <c r="N422" s="2"/>
    </row>
    <row r="423">
      <c r="I423" s="2"/>
      <c r="J423" s="2"/>
      <c r="K423" s="2"/>
      <c r="N423" s="2"/>
    </row>
    <row r="424">
      <c r="I424" s="2"/>
      <c r="J424" s="2"/>
      <c r="K424" s="2"/>
      <c r="N424" s="2"/>
    </row>
    <row r="425">
      <c r="I425" s="2"/>
      <c r="J425" s="2"/>
      <c r="K425" s="2"/>
      <c r="N425" s="2"/>
    </row>
    <row r="426">
      <c r="I426" s="2"/>
      <c r="J426" s="2"/>
      <c r="K426" s="2"/>
      <c r="N426" s="2"/>
    </row>
    <row r="427">
      <c r="I427" s="2"/>
      <c r="J427" s="2"/>
      <c r="K427" s="2"/>
      <c r="N427" s="2"/>
    </row>
    <row r="428">
      <c r="I428" s="2"/>
      <c r="J428" s="2"/>
      <c r="K428" s="2"/>
      <c r="N428" s="2"/>
    </row>
    <row r="429">
      <c r="I429" s="2"/>
      <c r="J429" s="2"/>
      <c r="K429" s="2"/>
      <c r="N429" s="2"/>
    </row>
    <row r="430">
      <c r="I430" s="2"/>
      <c r="J430" s="2"/>
      <c r="K430" s="2"/>
      <c r="N430" s="2"/>
    </row>
    <row r="431">
      <c r="I431" s="2"/>
      <c r="J431" s="2"/>
      <c r="K431" s="2"/>
      <c r="N431" s="2"/>
    </row>
    <row r="432">
      <c r="I432" s="2"/>
      <c r="J432" s="2"/>
      <c r="K432" s="2"/>
      <c r="N432" s="2"/>
    </row>
    <row r="433">
      <c r="I433" s="2"/>
      <c r="J433" s="2"/>
      <c r="K433" s="2"/>
      <c r="N433" s="2"/>
    </row>
    <row r="434">
      <c r="I434" s="2"/>
      <c r="J434" s="2"/>
      <c r="K434" s="2"/>
      <c r="N434" s="2"/>
    </row>
    <row r="435">
      <c r="I435" s="2"/>
      <c r="J435" s="2"/>
      <c r="K435" s="2"/>
      <c r="N435" s="2"/>
    </row>
    <row r="436">
      <c r="I436" s="2"/>
      <c r="J436" s="2"/>
      <c r="K436" s="2"/>
      <c r="N436" s="2"/>
    </row>
    <row r="437">
      <c r="I437" s="2"/>
      <c r="J437" s="2"/>
      <c r="K437" s="2"/>
      <c r="N437" s="2"/>
    </row>
    <row r="438">
      <c r="I438" s="2"/>
      <c r="J438" s="2"/>
      <c r="K438" s="2"/>
      <c r="N438" s="2"/>
    </row>
    <row r="439">
      <c r="I439" s="2"/>
      <c r="J439" s="2"/>
      <c r="K439" s="2"/>
      <c r="N439" s="2"/>
    </row>
    <row r="440">
      <c r="I440" s="2"/>
      <c r="J440" s="2"/>
      <c r="K440" s="2"/>
      <c r="N440" s="2"/>
    </row>
    <row r="441">
      <c r="I441" s="2"/>
      <c r="J441" s="2"/>
      <c r="K441" s="2"/>
      <c r="N441" s="2"/>
    </row>
    <row r="442">
      <c r="I442" s="2"/>
      <c r="J442" s="2"/>
      <c r="K442" s="2"/>
      <c r="N442" s="2"/>
    </row>
    <row r="443">
      <c r="I443" s="2"/>
      <c r="J443" s="2"/>
      <c r="K443" s="2"/>
      <c r="N443" s="2"/>
    </row>
    <row r="444">
      <c r="I444" s="2"/>
      <c r="J444" s="2"/>
      <c r="K444" s="2"/>
      <c r="N444" s="2"/>
    </row>
    <row r="445">
      <c r="I445" s="2"/>
      <c r="J445" s="2"/>
      <c r="K445" s="2"/>
      <c r="N445" s="2"/>
    </row>
    <row r="446">
      <c r="I446" s="2"/>
      <c r="J446" s="2"/>
      <c r="K446" s="2"/>
      <c r="N446" s="2"/>
    </row>
    <row r="447">
      <c r="I447" s="2"/>
      <c r="J447" s="2"/>
      <c r="K447" s="2"/>
      <c r="N447" s="2"/>
    </row>
    <row r="448">
      <c r="I448" s="2"/>
      <c r="J448" s="2"/>
      <c r="K448" s="2"/>
      <c r="N448" s="2"/>
    </row>
    <row r="449">
      <c r="I449" s="2"/>
      <c r="J449" s="2"/>
      <c r="K449" s="2"/>
      <c r="N449" s="2"/>
    </row>
    <row r="450">
      <c r="I450" s="2"/>
      <c r="J450" s="2"/>
      <c r="K450" s="2"/>
      <c r="N450" s="2"/>
    </row>
    <row r="451">
      <c r="I451" s="2"/>
      <c r="J451" s="2"/>
      <c r="K451" s="2"/>
      <c r="N451" s="2"/>
    </row>
    <row r="452">
      <c r="I452" s="2"/>
      <c r="J452" s="2"/>
      <c r="K452" s="2"/>
      <c r="N452" s="2"/>
    </row>
    <row r="453">
      <c r="I453" s="2"/>
      <c r="J453" s="2"/>
      <c r="K453" s="2"/>
      <c r="N453" s="2"/>
    </row>
    <row r="454">
      <c r="I454" s="2"/>
      <c r="J454" s="2"/>
      <c r="K454" s="2"/>
      <c r="N454" s="2"/>
    </row>
    <row r="455">
      <c r="I455" s="2"/>
      <c r="J455" s="2"/>
      <c r="K455" s="2"/>
      <c r="N455" s="2"/>
    </row>
    <row r="456">
      <c r="I456" s="2"/>
      <c r="J456" s="2"/>
      <c r="K456" s="2"/>
      <c r="N456" s="2"/>
    </row>
    <row r="457">
      <c r="I457" s="2"/>
      <c r="J457" s="2"/>
      <c r="K457" s="2"/>
      <c r="N457" s="2"/>
    </row>
    <row r="458">
      <c r="I458" s="2"/>
      <c r="J458" s="2"/>
      <c r="K458" s="2"/>
      <c r="N458" s="2"/>
    </row>
    <row r="459">
      <c r="I459" s="2"/>
      <c r="J459" s="2"/>
      <c r="K459" s="2"/>
      <c r="N459" s="2"/>
    </row>
    <row r="460">
      <c r="I460" s="2"/>
      <c r="J460" s="2"/>
      <c r="K460" s="2"/>
      <c r="N460" s="2"/>
    </row>
    <row r="461">
      <c r="I461" s="2"/>
      <c r="J461" s="2"/>
      <c r="K461" s="2"/>
      <c r="N461" s="2"/>
    </row>
    <row r="462">
      <c r="I462" s="2"/>
      <c r="J462" s="2"/>
      <c r="K462" s="2"/>
      <c r="N462" s="2"/>
    </row>
    <row r="463">
      <c r="I463" s="2"/>
      <c r="J463" s="2"/>
      <c r="K463" s="2"/>
      <c r="N463" s="2"/>
    </row>
    <row r="464">
      <c r="I464" s="2"/>
      <c r="J464" s="2"/>
      <c r="K464" s="2"/>
      <c r="N464" s="2"/>
    </row>
    <row r="465">
      <c r="I465" s="2"/>
      <c r="J465" s="2"/>
      <c r="K465" s="2"/>
      <c r="N465" s="2"/>
    </row>
    <row r="466">
      <c r="I466" s="2"/>
      <c r="J466" s="2"/>
      <c r="K466" s="2"/>
      <c r="N466" s="2"/>
    </row>
    <row r="467">
      <c r="I467" s="2"/>
      <c r="J467" s="2"/>
      <c r="K467" s="2"/>
      <c r="N467" s="2"/>
    </row>
    <row r="468">
      <c r="I468" s="2"/>
      <c r="J468" s="2"/>
      <c r="K468" s="2"/>
      <c r="N468" s="2"/>
    </row>
    <row r="469">
      <c r="I469" s="2"/>
      <c r="J469" s="2"/>
      <c r="K469" s="2"/>
      <c r="N469" s="2"/>
    </row>
    <row r="470">
      <c r="I470" s="2"/>
      <c r="J470" s="2"/>
      <c r="K470" s="2"/>
      <c r="N470" s="2"/>
    </row>
    <row r="471">
      <c r="I471" s="2"/>
      <c r="J471" s="2"/>
      <c r="K471" s="2"/>
      <c r="N471" s="2"/>
    </row>
    <row r="472">
      <c r="I472" s="2"/>
      <c r="J472" s="2"/>
      <c r="K472" s="2"/>
      <c r="N472" s="2"/>
    </row>
    <row r="473">
      <c r="I473" s="2"/>
      <c r="J473" s="2"/>
      <c r="K473" s="2"/>
      <c r="N473" s="2"/>
    </row>
    <row r="474">
      <c r="I474" s="2"/>
      <c r="J474" s="2"/>
      <c r="K474" s="2"/>
      <c r="N474" s="2"/>
    </row>
    <row r="475">
      <c r="I475" s="2"/>
      <c r="J475" s="2"/>
      <c r="K475" s="2"/>
      <c r="N475" s="2"/>
    </row>
    <row r="476">
      <c r="I476" s="2"/>
      <c r="J476" s="2"/>
      <c r="K476" s="2"/>
      <c r="N476" s="2"/>
    </row>
    <row r="477">
      <c r="I477" s="2"/>
      <c r="J477" s="2"/>
      <c r="K477" s="2"/>
      <c r="N477" s="2"/>
    </row>
    <row r="478">
      <c r="I478" s="2"/>
      <c r="J478" s="2"/>
      <c r="K478" s="2"/>
      <c r="N478" s="2"/>
    </row>
    <row r="479">
      <c r="I479" s="2"/>
      <c r="J479" s="2"/>
      <c r="K479" s="2"/>
      <c r="N479" s="2"/>
    </row>
    <row r="480">
      <c r="I480" s="2"/>
      <c r="J480" s="2"/>
      <c r="K480" s="2"/>
      <c r="N480" s="2"/>
    </row>
    <row r="481">
      <c r="I481" s="2"/>
      <c r="J481" s="2"/>
      <c r="K481" s="2"/>
      <c r="N481" s="2"/>
    </row>
    <row r="482">
      <c r="I482" s="2"/>
      <c r="J482" s="2"/>
      <c r="K482" s="2"/>
      <c r="N482" s="2"/>
    </row>
    <row r="483">
      <c r="I483" s="2"/>
      <c r="J483" s="2"/>
      <c r="K483" s="2"/>
      <c r="N483" s="2"/>
    </row>
    <row r="484">
      <c r="I484" s="2"/>
      <c r="J484" s="2"/>
      <c r="K484" s="2"/>
      <c r="N484" s="2"/>
    </row>
    <row r="485">
      <c r="I485" s="2"/>
      <c r="J485" s="2"/>
      <c r="K485" s="2"/>
      <c r="N485" s="2"/>
    </row>
    <row r="486">
      <c r="I486" s="2"/>
      <c r="J486" s="2"/>
      <c r="K486" s="2"/>
      <c r="N486" s="2"/>
    </row>
    <row r="487">
      <c r="I487" s="2"/>
      <c r="J487" s="2"/>
      <c r="K487" s="2"/>
      <c r="N487" s="2"/>
    </row>
    <row r="488">
      <c r="I488" s="2"/>
      <c r="J488" s="2"/>
      <c r="K488" s="2"/>
      <c r="N488" s="2"/>
    </row>
    <row r="489">
      <c r="I489" s="2"/>
      <c r="J489" s="2"/>
      <c r="K489" s="2"/>
      <c r="N489" s="2"/>
    </row>
    <row r="490">
      <c r="I490" s="2"/>
      <c r="J490" s="2"/>
      <c r="K490" s="2"/>
      <c r="N490" s="2"/>
    </row>
    <row r="491">
      <c r="I491" s="2"/>
      <c r="J491" s="2"/>
      <c r="K491" s="2"/>
      <c r="N491" s="2"/>
    </row>
    <row r="492">
      <c r="I492" s="2"/>
      <c r="J492" s="2"/>
      <c r="K492" s="2"/>
      <c r="N492" s="2"/>
    </row>
    <row r="493">
      <c r="I493" s="2"/>
      <c r="J493" s="2"/>
      <c r="K493" s="2"/>
      <c r="N493" s="2"/>
    </row>
    <row r="494">
      <c r="I494" s="2"/>
      <c r="J494" s="2"/>
      <c r="K494" s="2"/>
      <c r="N494" s="2"/>
    </row>
    <row r="495">
      <c r="I495" s="2"/>
      <c r="J495" s="2"/>
      <c r="K495" s="2"/>
      <c r="N495" s="2"/>
    </row>
    <row r="496">
      <c r="I496" s="2"/>
      <c r="J496" s="2"/>
      <c r="K496" s="2"/>
      <c r="N496" s="2"/>
    </row>
    <row r="497">
      <c r="I497" s="2"/>
      <c r="J497" s="2"/>
      <c r="K497" s="2"/>
      <c r="N497" s="2"/>
    </row>
    <row r="498">
      <c r="I498" s="2"/>
      <c r="J498" s="2"/>
      <c r="K498" s="2"/>
      <c r="N498" s="2"/>
    </row>
    <row r="499">
      <c r="I499" s="2"/>
      <c r="J499" s="2"/>
      <c r="K499" s="2"/>
      <c r="N499" s="2"/>
    </row>
    <row r="500">
      <c r="I500" s="2"/>
      <c r="J500" s="2"/>
      <c r="K500" s="2"/>
      <c r="N500" s="2"/>
    </row>
    <row r="501">
      <c r="I501" s="2"/>
      <c r="J501" s="2"/>
      <c r="K501" s="2"/>
      <c r="N501" s="2"/>
    </row>
    <row r="502">
      <c r="I502" s="2"/>
      <c r="J502" s="2"/>
      <c r="K502" s="2"/>
      <c r="N502" s="2"/>
    </row>
    <row r="503">
      <c r="I503" s="2"/>
      <c r="J503" s="2"/>
      <c r="K503" s="2"/>
      <c r="N503" s="2"/>
    </row>
    <row r="504">
      <c r="I504" s="2"/>
      <c r="J504" s="2"/>
      <c r="K504" s="2"/>
      <c r="N504" s="2"/>
    </row>
    <row r="505">
      <c r="I505" s="2"/>
      <c r="J505" s="2"/>
      <c r="K505" s="2"/>
      <c r="N505" s="2"/>
    </row>
    <row r="506">
      <c r="I506" s="2"/>
      <c r="J506" s="2"/>
      <c r="K506" s="2"/>
      <c r="N506" s="2"/>
    </row>
    <row r="507">
      <c r="I507" s="2"/>
      <c r="J507" s="2"/>
      <c r="K507" s="2"/>
      <c r="N507" s="2"/>
    </row>
    <row r="508">
      <c r="I508" s="2"/>
      <c r="J508" s="2"/>
      <c r="K508" s="2"/>
      <c r="N508" s="2"/>
    </row>
    <row r="509">
      <c r="I509" s="2"/>
      <c r="J509" s="2"/>
      <c r="K509" s="2"/>
      <c r="N509" s="2"/>
    </row>
    <row r="510">
      <c r="I510" s="2"/>
      <c r="J510" s="2"/>
      <c r="K510" s="2"/>
      <c r="N510" s="2"/>
    </row>
    <row r="511">
      <c r="I511" s="2"/>
      <c r="J511" s="2"/>
      <c r="K511" s="2"/>
      <c r="N511" s="2"/>
    </row>
    <row r="512">
      <c r="I512" s="2"/>
      <c r="J512" s="2"/>
      <c r="K512" s="2"/>
      <c r="N512" s="2"/>
    </row>
    <row r="513">
      <c r="I513" s="2"/>
      <c r="J513" s="2"/>
      <c r="K513" s="2"/>
      <c r="N513" s="2"/>
    </row>
    <row r="514">
      <c r="I514" s="2"/>
      <c r="J514" s="2"/>
      <c r="K514" s="2"/>
      <c r="N514" s="2"/>
    </row>
    <row r="515">
      <c r="I515" s="2"/>
      <c r="J515" s="2"/>
      <c r="K515" s="2"/>
      <c r="N515" s="2"/>
    </row>
    <row r="516">
      <c r="I516" s="2"/>
      <c r="J516" s="2"/>
      <c r="K516" s="2"/>
      <c r="N516" s="2"/>
    </row>
    <row r="517">
      <c r="I517" s="2"/>
      <c r="J517" s="2"/>
      <c r="K517" s="2"/>
      <c r="N517" s="2"/>
    </row>
    <row r="518">
      <c r="I518" s="2"/>
      <c r="J518" s="2"/>
      <c r="K518" s="2"/>
      <c r="N518" s="2"/>
    </row>
    <row r="519">
      <c r="I519" s="2"/>
      <c r="J519" s="2"/>
      <c r="K519" s="2"/>
      <c r="N519" s="2"/>
    </row>
    <row r="520">
      <c r="I520" s="2"/>
      <c r="J520" s="2"/>
      <c r="K520" s="2"/>
      <c r="N520" s="2"/>
    </row>
    <row r="521">
      <c r="I521" s="2"/>
      <c r="J521" s="2"/>
      <c r="K521" s="2"/>
      <c r="N521" s="2"/>
    </row>
    <row r="522">
      <c r="I522" s="2"/>
      <c r="J522" s="2"/>
      <c r="K522" s="2"/>
      <c r="N522" s="2"/>
    </row>
    <row r="523">
      <c r="I523" s="2"/>
      <c r="J523" s="2"/>
      <c r="K523" s="2"/>
      <c r="N523" s="2"/>
    </row>
    <row r="524">
      <c r="I524" s="2"/>
      <c r="J524" s="2"/>
      <c r="K524" s="2"/>
      <c r="N524" s="2"/>
    </row>
    <row r="525">
      <c r="I525" s="2"/>
      <c r="J525" s="2"/>
      <c r="K525" s="2"/>
      <c r="N525" s="2"/>
    </row>
    <row r="526">
      <c r="I526" s="2"/>
      <c r="J526" s="2"/>
      <c r="K526" s="2"/>
      <c r="N526" s="2"/>
    </row>
    <row r="527">
      <c r="I527" s="2"/>
      <c r="J527" s="2"/>
      <c r="K527" s="2"/>
      <c r="N527" s="2"/>
    </row>
    <row r="528">
      <c r="I528" s="2"/>
      <c r="J528" s="2"/>
      <c r="K528" s="2"/>
      <c r="N528" s="2"/>
    </row>
    <row r="529">
      <c r="I529" s="2"/>
      <c r="J529" s="2"/>
      <c r="K529" s="2"/>
      <c r="N529" s="2"/>
    </row>
    <row r="530">
      <c r="I530" s="2"/>
      <c r="J530" s="2"/>
      <c r="K530" s="2"/>
      <c r="N530" s="2"/>
    </row>
    <row r="531">
      <c r="I531" s="2"/>
      <c r="J531" s="2"/>
      <c r="K531" s="2"/>
      <c r="N531" s="2"/>
    </row>
    <row r="532">
      <c r="I532" s="2"/>
      <c r="J532" s="2"/>
      <c r="K532" s="2"/>
      <c r="N532" s="2"/>
    </row>
    <row r="533">
      <c r="I533" s="2"/>
      <c r="J533" s="2"/>
      <c r="K533" s="2"/>
      <c r="N533" s="2"/>
    </row>
    <row r="534">
      <c r="I534" s="2"/>
      <c r="J534" s="2"/>
      <c r="K534" s="2"/>
      <c r="N534" s="2"/>
    </row>
    <row r="535">
      <c r="I535" s="2"/>
      <c r="J535" s="2"/>
      <c r="K535" s="2"/>
      <c r="N535" s="2"/>
    </row>
    <row r="536">
      <c r="I536" s="2"/>
      <c r="J536" s="2"/>
      <c r="K536" s="2"/>
      <c r="N536" s="2"/>
    </row>
    <row r="537">
      <c r="I537" s="2"/>
      <c r="J537" s="2"/>
      <c r="K537" s="2"/>
      <c r="N537" s="2"/>
    </row>
    <row r="538">
      <c r="I538" s="2"/>
      <c r="J538" s="2"/>
      <c r="K538" s="2"/>
      <c r="N538" s="2"/>
    </row>
    <row r="539">
      <c r="I539" s="2"/>
      <c r="J539" s="2"/>
      <c r="K539" s="2"/>
      <c r="N539" s="2"/>
    </row>
    <row r="540">
      <c r="I540" s="2"/>
      <c r="J540" s="2"/>
      <c r="K540" s="2"/>
      <c r="N540" s="2"/>
    </row>
    <row r="541">
      <c r="I541" s="2"/>
      <c r="J541" s="2"/>
      <c r="K541" s="2"/>
      <c r="N541" s="2"/>
    </row>
    <row r="542">
      <c r="I542" s="2"/>
      <c r="J542" s="2"/>
      <c r="K542" s="2"/>
      <c r="N542" s="2"/>
    </row>
    <row r="543">
      <c r="I543" s="2"/>
      <c r="J543" s="2"/>
      <c r="K543" s="2"/>
      <c r="N543" s="2"/>
    </row>
    <row r="544">
      <c r="I544" s="2"/>
      <c r="J544" s="2"/>
      <c r="K544" s="2"/>
      <c r="N544" s="2"/>
    </row>
    <row r="545">
      <c r="I545" s="2"/>
      <c r="J545" s="2"/>
      <c r="K545" s="2"/>
      <c r="N545" s="2"/>
    </row>
    <row r="546">
      <c r="I546" s="2"/>
      <c r="J546" s="2"/>
      <c r="K546" s="2"/>
      <c r="N546" s="2"/>
    </row>
    <row r="547">
      <c r="I547" s="2"/>
      <c r="J547" s="2"/>
      <c r="K547" s="2"/>
      <c r="N547" s="2"/>
    </row>
    <row r="548">
      <c r="I548" s="2"/>
      <c r="J548" s="2"/>
      <c r="K548" s="2"/>
      <c r="N548" s="2"/>
    </row>
    <row r="549">
      <c r="I549" s="2"/>
      <c r="J549" s="2"/>
      <c r="K549" s="2"/>
      <c r="N549" s="2"/>
    </row>
    <row r="550">
      <c r="I550" s="2"/>
      <c r="J550" s="2"/>
      <c r="K550" s="2"/>
      <c r="N550" s="2"/>
    </row>
    <row r="551">
      <c r="I551" s="2"/>
      <c r="J551" s="2"/>
      <c r="K551" s="2"/>
      <c r="N551" s="2"/>
    </row>
    <row r="552">
      <c r="I552" s="2"/>
      <c r="J552" s="2"/>
      <c r="K552" s="2"/>
      <c r="N552" s="2"/>
    </row>
    <row r="553">
      <c r="I553" s="2"/>
      <c r="J553" s="2"/>
      <c r="K553" s="2"/>
      <c r="N553" s="2"/>
    </row>
    <row r="554">
      <c r="I554" s="2"/>
      <c r="J554" s="2"/>
      <c r="K554" s="2"/>
      <c r="N554" s="2"/>
    </row>
    <row r="555">
      <c r="I555" s="2"/>
      <c r="J555" s="2"/>
      <c r="K555" s="2"/>
      <c r="N555" s="2"/>
    </row>
    <row r="556">
      <c r="I556" s="2"/>
      <c r="J556" s="2"/>
      <c r="K556" s="2"/>
      <c r="N556" s="2"/>
    </row>
    <row r="557">
      <c r="I557" s="2"/>
      <c r="J557" s="2"/>
      <c r="K557" s="2"/>
      <c r="N557" s="2"/>
    </row>
    <row r="558">
      <c r="I558" s="2"/>
      <c r="J558" s="2"/>
      <c r="K558" s="2"/>
      <c r="N558" s="2"/>
    </row>
    <row r="559">
      <c r="I559" s="2"/>
      <c r="J559" s="2"/>
      <c r="K559" s="2"/>
      <c r="N559" s="2"/>
    </row>
    <row r="560">
      <c r="I560" s="2"/>
      <c r="J560" s="2"/>
      <c r="K560" s="2"/>
      <c r="N560" s="2"/>
    </row>
    <row r="561">
      <c r="I561" s="2"/>
      <c r="J561" s="2"/>
      <c r="K561" s="2"/>
      <c r="N561" s="2"/>
    </row>
    <row r="562">
      <c r="I562" s="2"/>
      <c r="J562" s="2"/>
      <c r="K562" s="2"/>
      <c r="N562" s="2"/>
    </row>
    <row r="563">
      <c r="I563" s="2"/>
      <c r="J563" s="2"/>
      <c r="K563" s="2"/>
      <c r="N563" s="2"/>
    </row>
    <row r="564">
      <c r="I564" s="2"/>
      <c r="J564" s="2"/>
      <c r="K564" s="2"/>
      <c r="N564" s="2"/>
    </row>
    <row r="565">
      <c r="I565" s="2"/>
      <c r="J565" s="2"/>
      <c r="K565" s="2"/>
      <c r="N565" s="2"/>
    </row>
    <row r="566">
      <c r="I566" s="2"/>
      <c r="J566" s="2"/>
      <c r="K566" s="2"/>
      <c r="N566" s="2"/>
    </row>
    <row r="567">
      <c r="I567" s="2"/>
      <c r="J567" s="2"/>
      <c r="K567" s="2"/>
      <c r="N567" s="2"/>
    </row>
    <row r="568">
      <c r="I568" s="2"/>
      <c r="J568" s="2"/>
      <c r="K568" s="2"/>
      <c r="N568" s="2"/>
    </row>
    <row r="569">
      <c r="I569" s="2"/>
      <c r="J569" s="2"/>
      <c r="K569" s="2"/>
      <c r="N569" s="2"/>
    </row>
    <row r="570">
      <c r="I570" s="2"/>
      <c r="J570" s="2"/>
      <c r="K570" s="2"/>
      <c r="N570" s="2"/>
    </row>
    <row r="571">
      <c r="I571" s="2"/>
      <c r="J571" s="2"/>
      <c r="K571" s="2"/>
      <c r="N571" s="2"/>
    </row>
    <row r="572">
      <c r="I572" s="2"/>
      <c r="J572" s="2"/>
      <c r="K572" s="2"/>
      <c r="N572" s="2"/>
    </row>
    <row r="573">
      <c r="I573" s="2"/>
      <c r="J573" s="2"/>
      <c r="K573" s="2"/>
      <c r="N573" s="2"/>
    </row>
    <row r="574">
      <c r="I574" s="2"/>
      <c r="J574" s="2"/>
      <c r="K574" s="2"/>
      <c r="N574" s="2"/>
    </row>
    <row r="575">
      <c r="I575" s="2"/>
      <c r="J575" s="2"/>
      <c r="K575" s="2"/>
      <c r="N575" s="2"/>
    </row>
    <row r="576">
      <c r="I576" s="2"/>
      <c r="J576" s="2"/>
      <c r="K576" s="2"/>
      <c r="N576" s="2"/>
    </row>
    <row r="577">
      <c r="I577" s="2"/>
      <c r="J577" s="2"/>
      <c r="K577" s="2"/>
      <c r="N577" s="2"/>
    </row>
    <row r="578">
      <c r="I578" s="2"/>
      <c r="J578" s="2"/>
      <c r="K578" s="2"/>
      <c r="N578" s="2"/>
    </row>
    <row r="579">
      <c r="I579" s="2"/>
      <c r="J579" s="2"/>
      <c r="K579" s="2"/>
      <c r="N579" s="2"/>
    </row>
    <row r="580">
      <c r="I580" s="2"/>
      <c r="J580" s="2"/>
      <c r="K580" s="2"/>
      <c r="N580" s="2"/>
    </row>
    <row r="581">
      <c r="I581" s="2"/>
      <c r="J581" s="2"/>
      <c r="K581" s="2"/>
      <c r="N581" s="2"/>
    </row>
    <row r="582">
      <c r="I582" s="2"/>
      <c r="J582" s="2"/>
      <c r="K582" s="2"/>
      <c r="N582" s="2"/>
    </row>
    <row r="583">
      <c r="I583" s="2"/>
      <c r="J583" s="2"/>
      <c r="K583" s="2"/>
      <c r="N583" s="2"/>
    </row>
    <row r="584">
      <c r="I584" s="2"/>
      <c r="J584" s="2"/>
      <c r="K584" s="2"/>
      <c r="N584" s="2"/>
    </row>
    <row r="585">
      <c r="I585" s="2"/>
      <c r="J585" s="2"/>
      <c r="K585" s="2"/>
      <c r="N585" s="2"/>
    </row>
    <row r="586">
      <c r="I586" s="2"/>
      <c r="J586" s="2"/>
      <c r="K586" s="2"/>
      <c r="N586" s="2"/>
    </row>
    <row r="587">
      <c r="I587" s="2"/>
      <c r="J587" s="2"/>
      <c r="K587" s="2"/>
      <c r="N587" s="2"/>
    </row>
    <row r="588">
      <c r="I588" s="2"/>
      <c r="J588" s="2"/>
      <c r="K588" s="2"/>
      <c r="N588" s="2"/>
    </row>
    <row r="589">
      <c r="I589" s="2"/>
      <c r="J589" s="2"/>
      <c r="K589" s="2"/>
      <c r="N589" s="2"/>
    </row>
    <row r="590">
      <c r="I590" s="2"/>
      <c r="J590" s="2"/>
      <c r="K590" s="2"/>
      <c r="N590" s="2"/>
    </row>
    <row r="591">
      <c r="I591" s="2"/>
      <c r="J591" s="2"/>
      <c r="K591" s="2"/>
      <c r="N591" s="2"/>
    </row>
    <row r="592">
      <c r="I592" s="2"/>
      <c r="J592" s="2"/>
      <c r="K592" s="2"/>
      <c r="N592" s="2"/>
    </row>
    <row r="593">
      <c r="I593" s="2"/>
      <c r="J593" s="2"/>
      <c r="K593" s="2"/>
      <c r="N593" s="2"/>
    </row>
    <row r="594">
      <c r="I594" s="2"/>
      <c r="J594" s="2"/>
      <c r="K594" s="2"/>
      <c r="N594" s="2"/>
    </row>
    <row r="595">
      <c r="I595" s="2"/>
      <c r="J595" s="2"/>
      <c r="K595" s="2"/>
      <c r="N595" s="2"/>
    </row>
    <row r="596">
      <c r="I596" s="2"/>
      <c r="J596" s="2"/>
      <c r="K596" s="2"/>
      <c r="N596" s="2"/>
    </row>
    <row r="597">
      <c r="I597" s="2"/>
      <c r="J597" s="2"/>
      <c r="K597" s="2"/>
      <c r="N597" s="2"/>
    </row>
    <row r="598">
      <c r="I598" s="2"/>
      <c r="J598" s="2"/>
      <c r="K598" s="2"/>
      <c r="N598" s="2"/>
    </row>
    <row r="599">
      <c r="I599" s="2"/>
      <c r="J599" s="2"/>
      <c r="K599" s="2"/>
      <c r="N599" s="2"/>
    </row>
    <row r="600">
      <c r="I600" s="2"/>
      <c r="J600" s="2"/>
      <c r="K600" s="2"/>
      <c r="N600" s="2"/>
    </row>
    <row r="601">
      <c r="I601" s="2"/>
      <c r="J601" s="2"/>
      <c r="K601" s="2"/>
      <c r="N601" s="2"/>
    </row>
    <row r="602">
      <c r="I602" s="2"/>
      <c r="J602" s="2"/>
      <c r="K602" s="2"/>
      <c r="N602" s="2"/>
    </row>
    <row r="603">
      <c r="I603" s="2"/>
      <c r="J603" s="2"/>
      <c r="K603" s="2"/>
      <c r="N603" s="2"/>
    </row>
    <row r="604">
      <c r="I604" s="2"/>
      <c r="J604" s="2"/>
      <c r="K604" s="2"/>
      <c r="N604" s="2"/>
    </row>
    <row r="605">
      <c r="I605" s="2"/>
      <c r="J605" s="2"/>
      <c r="K605" s="2"/>
      <c r="N605" s="2"/>
    </row>
    <row r="606">
      <c r="I606" s="2"/>
      <c r="J606" s="2"/>
      <c r="K606" s="2"/>
      <c r="N606" s="2"/>
    </row>
    <row r="607">
      <c r="I607" s="2"/>
      <c r="J607" s="2"/>
      <c r="K607" s="2"/>
      <c r="N607" s="2"/>
    </row>
    <row r="608">
      <c r="I608" s="2"/>
      <c r="J608" s="2"/>
      <c r="K608" s="2"/>
      <c r="N608" s="2"/>
    </row>
    <row r="609">
      <c r="I609" s="2"/>
      <c r="J609" s="2"/>
      <c r="K609" s="2"/>
      <c r="N609" s="2"/>
    </row>
    <row r="610">
      <c r="I610" s="2"/>
      <c r="J610" s="2"/>
      <c r="K610" s="2"/>
      <c r="N610" s="2"/>
    </row>
    <row r="611">
      <c r="I611" s="2"/>
      <c r="J611" s="2"/>
      <c r="K611" s="2"/>
      <c r="N611" s="2"/>
    </row>
    <row r="612">
      <c r="I612" s="2"/>
      <c r="J612" s="2"/>
      <c r="K612" s="2"/>
      <c r="N612" s="2"/>
    </row>
    <row r="613">
      <c r="I613" s="2"/>
      <c r="J613" s="2"/>
      <c r="K613" s="2"/>
      <c r="N613" s="2"/>
    </row>
    <row r="614">
      <c r="I614" s="2"/>
      <c r="J614" s="2"/>
      <c r="K614" s="2"/>
      <c r="N614" s="2"/>
    </row>
    <row r="615">
      <c r="I615" s="2"/>
      <c r="J615" s="2"/>
      <c r="K615" s="2"/>
      <c r="N615" s="2"/>
    </row>
    <row r="616">
      <c r="I616" s="2"/>
      <c r="J616" s="2"/>
      <c r="K616" s="2"/>
      <c r="N616" s="2"/>
    </row>
    <row r="617">
      <c r="I617" s="2"/>
      <c r="J617" s="2"/>
      <c r="K617" s="2"/>
      <c r="N617" s="2"/>
    </row>
    <row r="618">
      <c r="I618" s="2"/>
      <c r="J618" s="2"/>
      <c r="K618" s="2"/>
      <c r="N618" s="2"/>
    </row>
    <row r="619">
      <c r="I619" s="2"/>
      <c r="J619" s="2"/>
      <c r="K619" s="2"/>
      <c r="N619" s="2"/>
    </row>
    <row r="620">
      <c r="I620" s="2"/>
      <c r="J620" s="2"/>
      <c r="K620" s="2"/>
      <c r="N620" s="2"/>
    </row>
    <row r="621">
      <c r="I621" s="2"/>
      <c r="J621" s="2"/>
      <c r="K621" s="2"/>
      <c r="N621" s="2"/>
    </row>
    <row r="622">
      <c r="I622" s="2"/>
      <c r="J622" s="2"/>
      <c r="K622" s="2"/>
      <c r="N622" s="2"/>
    </row>
    <row r="623">
      <c r="I623" s="2"/>
      <c r="J623" s="2"/>
      <c r="K623" s="2"/>
      <c r="N623" s="2"/>
    </row>
    <row r="624">
      <c r="I624" s="2"/>
      <c r="J624" s="2"/>
      <c r="K624" s="2"/>
      <c r="N624" s="2"/>
    </row>
    <row r="625">
      <c r="I625" s="2"/>
      <c r="J625" s="2"/>
      <c r="K625" s="2"/>
      <c r="N625" s="2"/>
    </row>
    <row r="626">
      <c r="I626" s="2"/>
      <c r="J626" s="2"/>
      <c r="K626" s="2"/>
      <c r="N626" s="2"/>
    </row>
    <row r="627">
      <c r="I627" s="2"/>
      <c r="J627" s="2"/>
      <c r="K627" s="2"/>
      <c r="N627" s="2"/>
    </row>
    <row r="628">
      <c r="I628" s="2"/>
      <c r="J628" s="2"/>
      <c r="K628" s="2"/>
      <c r="N628" s="2"/>
    </row>
    <row r="629">
      <c r="I629" s="2"/>
      <c r="J629" s="2"/>
      <c r="K629" s="2"/>
      <c r="N629" s="2"/>
    </row>
    <row r="630">
      <c r="I630" s="2"/>
      <c r="J630" s="2"/>
      <c r="K630" s="2"/>
      <c r="N630" s="2"/>
    </row>
    <row r="631">
      <c r="I631" s="2"/>
      <c r="J631" s="2"/>
      <c r="K631" s="2"/>
      <c r="N631" s="2"/>
    </row>
    <row r="632">
      <c r="I632" s="2"/>
      <c r="J632" s="2"/>
      <c r="K632" s="2"/>
      <c r="N632" s="2"/>
    </row>
    <row r="633">
      <c r="I633" s="2"/>
      <c r="J633" s="2"/>
      <c r="K633" s="2"/>
      <c r="N633" s="2"/>
    </row>
    <row r="634">
      <c r="I634" s="2"/>
      <c r="J634" s="2"/>
      <c r="K634" s="2"/>
      <c r="N634" s="2"/>
    </row>
    <row r="635">
      <c r="I635" s="2"/>
      <c r="J635" s="2"/>
      <c r="K635" s="2"/>
      <c r="N635" s="2"/>
    </row>
    <row r="636">
      <c r="I636" s="2"/>
      <c r="J636" s="2"/>
      <c r="K636" s="2"/>
      <c r="N636" s="2"/>
    </row>
    <row r="637">
      <c r="I637" s="2"/>
      <c r="J637" s="2"/>
      <c r="K637" s="2"/>
      <c r="N637" s="2"/>
    </row>
    <row r="638">
      <c r="I638" s="2"/>
      <c r="J638" s="2"/>
      <c r="K638" s="2"/>
      <c r="N638" s="2"/>
    </row>
    <row r="639">
      <c r="I639" s="2"/>
      <c r="J639" s="2"/>
      <c r="K639" s="2"/>
      <c r="N639" s="2"/>
    </row>
    <row r="640">
      <c r="I640" s="2"/>
      <c r="J640" s="2"/>
      <c r="K640" s="2"/>
      <c r="N640" s="2"/>
    </row>
    <row r="641">
      <c r="I641" s="2"/>
      <c r="J641" s="2"/>
      <c r="K641" s="2"/>
      <c r="N641" s="2"/>
    </row>
    <row r="642">
      <c r="I642" s="2"/>
      <c r="J642" s="2"/>
      <c r="K642" s="2"/>
      <c r="N642" s="2"/>
    </row>
    <row r="643">
      <c r="I643" s="2"/>
      <c r="J643" s="2"/>
      <c r="K643" s="2"/>
      <c r="N643" s="2"/>
    </row>
    <row r="644">
      <c r="I644" s="2"/>
      <c r="J644" s="2"/>
      <c r="K644" s="2"/>
      <c r="N644" s="2"/>
    </row>
    <row r="645">
      <c r="I645" s="2"/>
      <c r="J645" s="2"/>
      <c r="K645" s="2"/>
      <c r="N645" s="2"/>
    </row>
    <row r="646">
      <c r="I646" s="2"/>
      <c r="J646" s="2"/>
      <c r="K646" s="2"/>
      <c r="N646" s="2"/>
    </row>
    <row r="647">
      <c r="I647" s="2"/>
      <c r="J647" s="2"/>
      <c r="K647" s="2"/>
      <c r="N647" s="2"/>
    </row>
    <row r="648">
      <c r="I648" s="2"/>
      <c r="J648" s="2"/>
      <c r="K648" s="2"/>
      <c r="N648" s="2"/>
    </row>
    <row r="649">
      <c r="I649" s="2"/>
      <c r="J649" s="2"/>
      <c r="K649" s="2"/>
      <c r="N649" s="2"/>
    </row>
    <row r="650">
      <c r="I650" s="2"/>
      <c r="J650" s="2"/>
      <c r="K650" s="2"/>
      <c r="N650" s="2"/>
    </row>
    <row r="651">
      <c r="I651" s="2"/>
      <c r="J651" s="2"/>
      <c r="K651" s="2"/>
      <c r="N651" s="2"/>
    </row>
    <row r="652">
      <c r="I652" s="2"/>
      <c r="J652" s="2"/>
      <c r="K652" s="2"/>
      <c r="N652" s="2"/>
    </row>
    <row r="653">
      <c r="I653" s="2"/>
      <c r="J653" s="2"/>
      <c r="K653" s="2"/>
      <c r="N653" s="2"/>
    </row>
    <row r="654">
      <c r="I654" s="2"/>
      <c r="J654" s="2"/>
      <c r="K654" s="2"/>
      <c r="N654" s="2"/>
    </row>
    <row r="655">
      <c r="I655" s="2"/>
      <c r="J655" s="2"/>
      <c r="K655" s="2"/>
      <c r="N655" s="2"/>
    </row>
    <row r="656">
      <c r="I656" s="2"/>
      <c r="J656" s="2"/>
      <c r="K656" s="2"/>
      <c r="N656" s="2"/>
    </row>
    <row r="657">
      <c r="I657" s="2"/>
      <c r="J657" s="2"/>
      <c r="K657" s="2"/>
      <c r="N657" s="2"/>
    </row>
    <row r="658">
      <c r="I658" s="2"/>
      <c r="J658" s="2"/>
      <c r="K658" s="2"/>
      <c r="N658" s="2"/>
    </row>
    <row r="659">
      <c r="I659" s="2"/>
      <c r="J659" s="2"/>
      <c r="K659" s="2"/>
      <c r="N659" s="2"/>
    </row>
    <row r="660">
      <c r="I660" s="2"/>
      <c r="J660" s="2"/>
      <c r="K660" s="2"/>
      <c r="N660" s="2"/>
    </row>
    <row r="661">
      <c r="I661" s="2"/>
      <c r="J661" s="2"/>
      <c r="K661" s="2"/>
      <c r="N661" s="2"/>
    </row>
    <row r="662">
      <c r="I662" s="2"/>
      <c r="J662" s="2"/>
      <c r="K662" s="2"/>
      <c r="N662" s="2"/>
    </row>
    <row r="663">
      <c r="I663" s="2"/>
      <c r="J663" s="2"/>
      <c r="K663" s="2"/>
      <c r="N663" s="2"/>
    </row>
    <row r="664">
      <c r="I664" s="2"/>
      <c r="J664" s="2"/>
      <c r="K664" s="2"/>
      <c r="N664" s="2"/>
    </row>
    <row r="665">
      <c r="I665" s="2"/>
      <c r="J665" s="2"/>
      <c r="K665" s="2"/>
      <c r="N665" s="2"/>
    </row>
    <row r="666">
      <c r="I666" s="2"/>
      <c r="J666" s="2"/>
      <c r="K666" s="2"/>
      <c r="N666" s="2"/>
    </row>
    <row r="667">
      <c r="I667" s="2"/>
      <c r="J667" s="2"/>
      <c r="K667" s="2"/>
      <c r="N667" s="2"/>
    </row>
    <row r="668">
      <c r="I668" s="2"/>
      <c r="J668" s="2"/>
      <c r="K668" s="2"/>
      <c r="N668" s="2"/>
    </row>
    <row r="669">
      <c r="I669" s="2"/>
      <c r="J669" s="2"/>
      <c r="K669" s="2"/>
      <c r="N669" s="2"/>
    </row>
    <row r="670">
      <c r="I670" s="2"/>
      <c r="J670" s="2"/>
      <c r="K670" s="2"/>
      <c r="N670" s="2"/>
    </row>
    <row r="671">
      <c r="I671" s="2"/>
      <c r="J671" s="2"/>
      <c r="K671" s="2"/>
      <c r="N671" s="2"/>
    </row>
    <row r="672">
      <c r="I672" s="2"/>
      <c r="J672" s="2"/>
      <c r="K672" s="2"/>
      <c r="N672" s="2"/>
    </row>
    <row r="673">
      <c r="I673" s="2"/>
      <c r="J673" s="2"/>
      <c r="K673" s="2"/>
      <c r="N673" s="2"/>
    </row>
    <row r="674">
      <c r="I674" s="2"/>
      <c r="J674" s="2"/>
      <c r="K674" s="2"/>
      <c r="N674" s="2"/>
    </row>
    <row r="675">
      <c r="I675" s="2"/>
      <c r="J675" s="2"/>
      <c r="K675" s="2"/>
      <c r="N675" s="2"/>
    </row>
    <row r="676">
      <c r="I676" s="2"/>
      <c r="J676" s="2"/>
      <c r="K676" s="2"/>
      <c r="N676" s="2"/>
    </row>
    <row r="677">
      <c r="I677" s="2"/>
      <c r="J677" s="2"/>
      <c r="K677" s="2"/>
      <c r="N677" s="2"/>
    </row>
    <row r="678">
      <c r="I678" s="2"/>
      <c r="J678" s="2"/>
      <c r="K678" s="2"/>
      <c r="N678" s="2"/>
    </row>
    <row r="679">
      <c r="I679" s="2"/>
      <c r="J679" s="2"/>
      <c r="K679" s="2"/>
      <c r="N679" s="2"/>
    </row>
    <row r="680">
      <c r="I680" s="2"/>
      <c r="J680" s="2"/>
      <c r="K680" s="2"/>
      <c r="N680" s="2"/>
    </row>
    <row r="681">
      <c r="I681" s="2"/>
      <c r="J681" s="2"/>
      <c r="K681" s="2"/>
      <c r="N681" s="2"/>
    </row>
    <row r="682">
      <c r="I682" s="2"/>
      <c r="J682" s="2"/>
      <c r="K682" s="2"/>
      <c r="N682" s="2"/>
    </row>
    <row r="683">
      <c r="I683" s="2"/>
      <c r="J683" s="2"/>
      <c r="K683" s="2"/>
      <c r="N683" s="2"/>
    </row>
    <row r="684">
      <c r="I684" s="2"/>
      <c r="J684" s="2"/>
      <c r="K684" s="2"/>
      <c r="N684" s="2"/>
    </row>
    <row r="685">
      <c r="I685" s="2"/>
      <c r="J685" s="2"/>
      <c r="K685" s="2"/>
      <c r="N685" s="2"/>
    </row>
    <row r="686">
      <c r="I686" s="2"/>
      <c r="J686" s="2"/>
      <c r="K686" s="2"/>
      <c r="N686" s="2"/>
    </row>
    <row r="687">
      <c r="I687" s="2"/>
      <c r="J687" s="2"/>
      <c r="K687" s="2"/>
      <c r="N687" s="2"/>
    </row>
    <row r="688">
      <c r="I688" s="2"/>
      <c r="J688" s="2"/>
      <c r="K688" s="2"/>
      <c r="N688" s="2"/>
    </row>
    <row r="689">
      <c r="I689" s="2"/>
      <c r="J689" s="2"/>
      <c r="K689" s="2"/>
      <c r="N689" s="2"/>
    </row>
    <row r="690">
      <c r="I690" s="2"/>
      <c r="J690" s="2"/>
      <c r="K690" s="2"/>
      <c r="N690" s="2"/>
    </row>
    <row r="691">
      <c r="I691" s="2"/>
      <c r="J691" s="2"/>
      <c r="K691" s="2"/>
      <c r="N691" s="2"/>
    </row>
    <row r="692">
      <c r="I692" s="2"/>
      <c r="J692" s="2"/>
      <c r="K692" s="2"/>
      <c r="N692" s="2"/>
    </row>
    <row r="693">
      <c r="I693" s="2"/>
      <c r="J693" s="2"/>
      <c r="K693" s="2"/>
      <c r="N693" s="2"/>
    </row>
    <row r="694">
      <c r="I694" s="2"/>
      <c r="J694" s="2"/>
      <c r="K694" s="2"/>
      <c r="N694" s="2"/>
    </row>
    <row r="695">
      <c r="I695" s="2"/>
      <c r="J695" s="2"/>
      <c r="K695" s="2"/>
      <c r="N695" s="2"/>
    </row>
    <row r="696">
      <c r="I696" s="2"/>
      <c r="J696" s="2"/>
      <c r="K696" s="2"/>
      <c r="N696" s="2"/>
    </row>
    <row r="697">
      <c r="I697" s="2"/>
      <c r="J697" s="2"/>
      <c r="K697" s="2"/>
      <c r="N697" s="2"/>
    </row>
    <row r="698">
      <c r="I698" s="2"/>
      <c r="J698" s="2"/>
      <c r="K698" s="2"/>
      <c r="N698" s="2"/>
    </row>
    <row r="699">
      <c r="I699" s="2"/>
      <c r="J699" s="2"/>
      <c r="K699" s="2"/>
      <c r="N699" s="2"/>
    </row>
    <row r="700">
      <c r="I700" s="2"/>
      <c r="J700" s="2"/>
      <c r="K700" s="2"/>
      <c r="N700" s="2"/>
    </row>
    <row r="701">
      <c r="I701" s="2"/>
      <c r="J701" s="2"/>
      <c r="K701" s="2"/>
      <c r="N701" s="2"/>
    </row>
    <row r="702">
      <c r="I702" s="2"/>
      <c r="J702" s="2"/>
      <c r="K702" s="2"/>
      <c r="N702" s="2"/>
    </row>
    <row r="703">
      <c r="I703" s="2"/>
      <c r="J703" s="2"/>
      <c r="K703" s="2"/>
      <c r="N703" s="2"/>
    </row>
    <row r="704">
      <c r="I704" s="2"/>
      <c r="J704" s="2"/>
      <c r="K704" s="2"/>
      <c r="N704" s="2"/>
    </row>
    <row r="705">
      <c r="I705" s="2"/>
      <c r="J705" s="2"/>
      <c r="K705" s="2"/>
      <c r="N705" s="2"/>
    </row>
    <row r="706">
      <c r="I706" s="2"/>
      <c r="J706" s="2"/>
      <c r="K706" s="2"/>
      <c r="N706" s="2"/>
    </row>
    <row r="707">
      <c r="I707" s="2"/>
      <c r="J707" s="2"/>
      <c r="K707" s="2"/>
      <c r="N707" s="2"/>
    </row>
    <row r="708">
      <c r="I708" s="2"/>
      <c r="J708" s="2"/>
      <c r="K708" s="2"/>
      <c r="N708" s="2"/>
    </row>
    <row r="709">
      <c r="I709" s="2"/>
      <c r="J709" s="2"/>
      <c r="K709" s="2"/>
      <c r="N709" s="2"/>
    </row>
    <row r="710">
      <c r="I710" s="2"/>
      <c r="J710" s="2"/>
      <c r="K710" s="2"/>
      <c r="N710" s="2"/>
    </row>
    <row r="711">
      <c r="I711" s="2"/>
      <c r="J711" s="2"/>
      <c r="K711" s="2"/>
      <c r="N711" s="2"/>
    </row>
    <row r="712">
      <c r="I712" s="2"/>
      <c r="J712" s="2"/>
      <c r="K712" s="2"/>
      <c r="N712" s="2"/>
    </row>
    <row r="713">
      <c r="I713" s="2"/>
      <c r="J713" s="2"/>
      <c r="K713" s="2"/>
      <c r="N713" s="2"/>
    </row>
    <row r="714">
      <c r="I714" s="2"/>
      <c r="J714" s="2"/>
      <c r="K714" s="2"/>
      <c r="N714" s="2"/>
    </row>
    <row r="715">
      <c r="I715" s="2"/>
      <c r="J715" s="2"/>
      <c r="K715" s="2"/>
      <c r="N715" s="2"/>
    </row>
    <row r="716">
      <c r="I716" s="2"/>
      <c r="J716" s="2"/>
      <c r="K716" s="2"/>
      <c r="N716" s="2"/>
    </row>
    <row r="717">
      <c r="I717" s="2"/>
      <c r="J717" s="2"/>
      <c r="K717" s="2"/>
      <c r="N717" s="2"/>
    </row>
    <row r="718">
      <c r="I718" s="2"/>
      <c r="J718" s="2"/>
      <c r="K718" s="2"/>
      <c r="N718" s="2"/>
    </row>
    <row r="719">
      <c r="I719" s="2"/>
      <c r="J719" s="2"/>
      <c r="K719" s="2"/>
      <c r="N719" s="2"/>
    </row>
    <row r="720">
      <c r="I720" s="2"/>
      <c r="J720" s="2"/>
      <c r="K720" s="2"/>
      <c r="N720" s="2"/>
    </row>
    <row r="721">
      <c r="I721" s="2"/>
      <c r="J721" s="2"/>
      <c r="K721" s="2"/>
      <c r="N721" s="2"/>
    </row>
    <row r="722">
      <c r="I722" s="2"/>
      <c r="J722" s="2"/>
      <c r="K722" s="2"/>
      <c r="N722" s="2"/>
    </row>
    <row r="723">
      <c r="I723" s="2"/>
      <c r="J723" s="2"/>
      <c r="K723" s="2"/>
      <c r="N723" s="2"/>
    </row>
    <row r="724">
      <c r="I724" s="2"/>
      <c r="J724" s="2"/>
      <c r="K724" s="2"/>
      <c r="N724" s="2"/>
    </row>
    <row r="725">
      <c r="I725" s="2"/>
      <c r="J725" s="2"/>
      <c r="K725" s="2"/>
      <c r="N725" s="2"/>
    </row>
    <row r="726">
      <c r="I726" s="2"/>
      <c r="J726" s="2"/>
      <c r="K726" s="2"/>
      <c r="N726" s="2"/>
    </row>
    <row r="727">
      <c r="I727" s="2"/>
      <c r="J727" s="2"/>
      <c r="K727" s="2"/>
      <c r="N727" s="2"/>
    </row>
    <row r="728">
      <c r="I728" s="2"/>
      <c r="J728" s="2"/>
      <c r="K728" s="2"/>
      <c r="N728" s="2"/>
    </row>
    <row r="729">
      <c r="I729" s="2"/>
      <c r="J729" s="2"/>
      <c r="K729" s="2"/>
      <c r="N729" s="2"/>
    </row>
    <row r="730">
      <c r="I730" s="2"/>
      <c r="J730" s="2"/>
      <c r="K730" s="2"/>
      <c r="N730" s="2"/>
    </row>
    <row r="731">
      <c r="I731" s="2"/>
      <c r="J731" s="2"/>
      <c r="K731" s="2"/>
      <c r="N731" s="2"/>
    </row>
    <row r="732">
      <c r="I732" s="2"/>
      <c r="J732" s="2"/>
      <c r="K732" s="2"/>
      <c r="N732" s="2"/>
    </row>
    <row r="733">
      <c r="I733" s="2"/>
      <c r="J733" s="2"/>
      <c r="K733" s="2"/>
      <c r="N733" s="2"/>
    </row>
    <row r="734">
      <c r="I734" s="2"/>
      <c r="J734" s="2"/>
      <c r="K734" s="2"/>
      <c r="N734" s="2"/>
    </row>
    <row r="735">
      <c r="I735" s="2"/>
      <c r="J735" s="2"/>
      <c r="K735" s="2"/>
      <c r="N735" s="2"/>
    </row>
    <row r="736">
      <c r="I736" s="2"/>
      <c r="J736" s="2"/>
      <c r="K736" s="2"/>
      <c r="N736" s="2"/>
    </row>
    <row r="737">
      <c r="I737" s="2"/>
      <c r="J737" s="2"/>
      <c r="K737" s="2"/>
      <c r="N737" s="2"/>
    </row>
    <row r="738">
      <c r="I738" s="2"/>
      <c r="J738" s="2"/>
      <c r="K738" s="2"/>
      <c r="N738" s="2"/>
    </row>
    <row r="739">
      <c r="I739" s="2"/>
      <c r="J739" s="2"/>
      <c r="K739" s="2"/>
      <c r="N739" s="2"/>
    </row>
    <row r="740">
      <c r="I740" s="2"/>
      <c r="J740" s="2"/>
      <c r="K740" s="2"/>
      <c r="N740" s="2"/>
    </row>
    <row r="741">
      <c r="I741" s="2"/>
      <c r="J741" s="2"/>
      <c r="K741" s="2"/>
      <c r="N741" s="2"/>
    </row>
    <row r="742">
      <c r="I742" s="2"/>
      <c r="J742" s="2"/>
      <c r="K742" s="2"/>
      <c r="N742" s="2"/>
    </row>
    <row r="743">
      <c r="I743" s="2"/>
      <c r="J743" s="2"/>
      <c r="K743" s="2"/>
      <c r="N743" s="2"/>
    </row>
    <row r="744">
      <c r="I744" s="2"/>
      <c r="J744" s="2"/>
      <c r="K744" s="2"/>
      <c r="N744" s="2"/>
    </row>
    <row r="745">
      <c r="I745" s="2"/>
      <c r="J745" s="2"/>
      <c r="K745" s="2"/>
      <c r="N745" s="2"/>
    </row>
    <row r="746">
      <c r="I746" s="2"/>
      <c r="J746" s="2"/>
      <c r="K746" s="2"/>
      <c r="N746" s="2"/>
    </row>
    <row r="747">
      <c r="I747" s="2"/>
      <c r="J747" s="2"/>
      <c r="K747" s="2"/>
      <c r="N747" s="2"/>
    </row>
    <row r="748">
      <c r="I748" s="2"/>
      <c r="J748" s="2"/>
      <c r="K748" s="2"/>
      <c r="N748" s="2"/>
    </row>
    <row r="749">
      <c r="I749" s="2"/>
      <c r="J749" s="2"/>
      <c r="K749" s="2"/>
      <c r="N749" s="2"/>
    </row>
    <row r="750">
      <c r="I750" s="2"/>
      <c r="J750" s="2"/>
      <c r="K750" s="2"/>
      <c r="N750" s="2"/>
    </row>
    <row r="751">
      <c r="I751" s="2"/>
      <c r="J751" s="2"/>
      <c r="K751" s="2"/>
      <c r="N751" s="2"/>
    </row>
    <row r="752">
      <c r="I752" s="2"/>
      <c r="J752" s="2"/>
      <c r="K752" s="2"/>
      <c r="N752" s="2"/>
    </row>
    <row r="753">
      <c r="I753" s="2"/>
      <c r="J753" s="2"/>
      <c r="K753" s="2"/>
      <c r="N753" s="2"/>
    </row>
    <row r="754">
      <c r="I754" s="2"/>
      <c r="J754" s="2"/>
      <c r="K754" s="2"/>
      <c r="N754" s="2"/>
    </row>
    <row r="755">
      <c r="I755" s="2"/>
      <c r="J755" s="2"/>
      <c r="K755" s="2"/>
      <c r="N755" s="2"/>
    </row>
    <row r="756">
      <c r="I756" s="2"/>
      <c r="J756" s="2"/>
      <c r="K756" s="2"/>
      <c r="N756" s="2"/>
    </row>
    <row r="757">
      <c r="I757" s="2"/>
      <c r="J757" s="2"/>
      <c r="K757" s="2"/>
      <c r="N757" s="2"/>
    </row>
    <row r="758">
      <c r="I758" s="2"/>
      <c r="J758" s="2"/>
      <c r="K758" s="2"/>
      <c r="N758" s="2"/>
    </row>
    <row r="759">
      <c r="I759" s="2"/>
      <c r="J759" s="2"/>
      <c r="K759" s="2"/>
      <c r="N759" s="2"/>
    </row>
    <row r="760">
      <c r="I760" s="2"/>
      <c r="J760" s="2"/>
      <c r="K760" s="2"/>
      <c r="N760" s="2"/>
    </row>
    <row r="761">
      <c r="I761" s="2"/>
      <c r="J761" s="2"/>
      <c r="K761" s="2"/>
      <c r="N761" s="2"/>
    </row>
    <row r="762">
      <c r="I762" s="2"/>
      <c r="J762" s="2"/>
      <c r="K762" s="2"/>
      <c r="N762" s="2"/>
    </row>
    <row r="763">
      <c r="I763" s="2"/>
      <c r="J763" s="2"/>
      <c r="K763" s="2"/>
      <c r="N763" s="2"/>
    </row>
    <row r="764">
      <c r="I764" s="2"/>
      <c r="J764" s="2"/>
      <c r="K764" s="2"/>
      <c r="N764" s="2"/>
    </row>
    <row r="765">
      <c r="I765" s="2"/>
      <c r="J765" s="2"/>
      <c r="K765" s="2"/>
      <c r="N765" s="2"/>
    </row>
    <row r="766">
      <c r="I766" s="2"/>
      <c r="J766" s="2"/>
      <c r="K766" s="2"/>
      <c r="N766" s="2"/>
    </row>
    <row r="767">
      <c r="I767" s="2"/>
      <c r="J767" s="2"/>
      <c r="K767" s="2"/>
      <c r="N767" s="2"/>
    </row>
    <row r="768">
      <c r="I768" s="2"/>
      <c r="J768" s="2"/>
      <c r="K768" s="2"/>
      <c r="N768" s="2"/>
    </row>
    <row r="769">
      <c r="I769" s="2"/>
      <c r="J769" s="2"/>
      <c r="K769" s="2"/>
      <c r="N769" s="2"/>
    </row>
    <row r="770">
      <c r="I770" s="2"/>
      <c r="J770" s="2"/>
      <c r="K770" s="2"/>
      <c r="N770" s="2"/>
    </row>
    <row r="771">
      <c r="I771" s="2"/>
      <c r="J771" s="2"/>
      <c r="K771" s="2"/>
      <c r="N771" s="2"/>
    </row>
    <row r="772">
      <c r="I772" s="2"/>
      <c r="J772" s="2"/>
      <c r="K772" s="2"/>
      <c r="N772" s="2"/>
    </row>
    <row r="773">
      <c r="I773" s="2"/>
      <c r="J773" s="2"/>
      <c r="K773" s="2"/>
      <c r="N773" s="2"/>
    </row>
    <row r="774">
      <c r="I774" s="2"/>
      <c r="J774" s="2"/>
      <c r="K774" s="2"/>
      <c r="N774" s="2"/>
    </row>
    <row r="775">
      <c r="I775" s="2"/>
      <c r="J775" s="2"/>
      <c r="K775" s="2"/>
      <c r="N775" s="2"/>
    </row>
    <row r="776">
      <c r="I776" s="2"/>
      <c r="J776" s="2"/>
      <c r="K776" s="2"/>
      <c r="N776" s="2"/>
    </row>
    <row r="777">
      <c r="I777" s="2"/>
      <c r="J777" s="2"/>
      <c r="K777" s="2"/>
      <c r="N777" s="2"/>
    </row>
    <row r="778">
      <c r="I778" s="2"/>
      <c r="J778" s="2"/>
      <c r="K778" s="2"/>
      <c r="N778" s="2"/>
    </row>
    <row r="779">
      <c r="I779" s="2"/>
      <c r="J779" s="2"/>
      <c r="K779" s="2"/>
      <c r="N779" s="2"/>
    </row>
    <row r="780">
      <c r="I780" s="2"/>
      <c r="J780" s="2"/>
      <c r="K780" s="2"/>
      <c r="N780" s="2"/>
    </row>
    <row r="781">
      <c r="I781" s="2"/>
      <c r="J781" s="2"/>
      <c r="K781" s="2"/>
      <c r="N781" s="2"/>
    </row>
    <row r="782">
      <c r="I782" s="2"/>
      <c r="J782" s="2"/>
      <c r="K782" s="2"/>
      <c r="N782" s="2"/>
    </row>
    <row r="783">
      <c r="I783" s="2"/>
      <c r="J783" s="2"/>
      <c r="K783" s="2"/>
      <c r="N783" s="2"/>
    </row>
    <row r="784">
      <c r="I784" s="2"/>
      <c r="J784" s="2"/>
      <c r="K784" s="2"/>
      <c r="N784" s="2"/>
    </row>
    <row r="785">
      <c r="I785" s="2"/>
      <c r="J785" s="2"/>
      <c r="K785" s="2"/>
      <c r="N785" s="2"/>
    </row>
    <row r="786">
      <c r="I786" s="2"/>
      <c r="J786" s="2"/>
      <c r="K786" s="2"/>
      <c r="N786" s="2"/>
    </row>
    <row r="787">
      <c r="I787" s="2"/>
      <c r="J787" s="2"/>
      <c r="K787" s="2"/>
      <c r="N787" s="2"/>
    </row>
    <row r="788">
      <c r="I788" s="2"/>
      <c r="J788" s="2"/>
      <c r="K788" s="2"/>
      <c r="N788" s="2"/>
    </row>
    <row r="789">
      <c r="I789" s="2"/>
      <c r="J789" s="2"/>
      <c r="K789" s="2"/>
      <c r="N789" s="2"/>
    </row>
    <row r="790">
      <c r="I790" s="2"/>
      <c r="J790" s="2"/>
      <c r="K790" s="2"/>
      <c r="N790" s="2"/>
    </row>
    <row r="791">
      <c r="I791" s="2"/>
      <c r="J791" s="2"/>
      <c r="K791" s="2"/>
      <c r="N791" s="2"/>
    </row>
    <row r="792">
      <c r="I792" s="2"/>
      <c r="J792" s="2"/>
      <c r="K792" s="2"/>
      <c r="N792" s="2"/>
    </row>
    <row r="793">
      <c r="I793" s="2"/>
      <c r="J793" s="2"/>
      <c r="K793" s="2"/>
      <c r="N793" s="2"/>
    </row>
    <row r="794">
      <c r="I794" s="2"/>
      <c r="J794" s="2"/>
      <c r="K794" s="2"/>
      <c r="N794" s="2"/>
    </row>
    <row r="795">
      <c r="I795" s="2"/>
      <c r="J795" s="2"/>
      <c r="K795" s="2"/>
      <c r="N795" s="2"/>
    </row>
    <row r="796">
      <c r="I796" s="2"/>
      <c r="J796" s="2"/>
      <c r="K796" s="2"/>
      <c r="N796" s="2"/>
    </row>
    <row r="797">
      <c r="I797" s="2"/>
      <c r="J797" s="2"/>
      <c r="K797" s="2"/>
      <c r="N797" s="2"/>
    </row>
    <row r="798">
      <c r="I798" s="2"/>
      <c r="J798" s="2"/>
      <c r="K798" s="2"/>
      <c r="N798" s="2"/>
    </row>
    <row r="799">
      <c r="I799" s="2"/>
      <c r="J799" s="2"/>
      <c r="K799" s="2"/>
      <c r="N799" s="2"/>
    </row>
    <row r="800">
      <c r="I800" s="2"/>
      <c r="J800" s="2"/>
      <c r="K800" s="2"/>
      <c r="N800" s="2"/>
    </row>
    <row r="801">
      <c r="I801" s="2"/>
      <c r="J801" s="2"/>
      <c r="K801" s="2"/>
      <c r="N801" s="2"/>
    </row>
    <row r="802">
      <c r="I802" s="2"/>
      <c r="J802" s="2"/>
      <c r="K802" s="2"/>
      <c r="N802" s="2"/>
    </row>
    <row r="803">
      <c r="I803" s="2"/>
      <c r="J803" s="2"/>
      <c r="K803" s="2"/>
      <c r="N803" s="2"/>
    </row>
    <row r="804">
      <c r="I804" s="2"/>
      <c r="J804" s="2"/>
      <c r="K804" s="2"/>
      <c r="N804" s="2"/>
    </row>
    <row r="805">
      <c r="I805" s="2"/>
      <c r="J805" s="2"/>
      <c r="K805" s="2"/>
      <c r="N805" s="2"/>
    </row>
    <row r="806">
      <c r="I806" s="2"/>
      <c r="J806" s="2"/>
      <c r="K806" s="2"/>
      <c r="N806" s="2"/>
    </row>
    <row r="807">
      <c r="I807" s="2"/>
      <c r="J807" s="2"/>
      <c r="K807" s="2"/>
      <c r="N807" s="2"/>
    </row>
    <row r="808">
      <c r="I808" s="2"/>
      <c r="J808" s="2"/>
      <c r="K808" s="2"/>
      <c r="N808" s="2"/>
    </row>
    <row r="809">
      <c r="I809" s="2"/>
      <c r="J809" s="2"/>
      <c r="K809" s="2"/>
      <c r="N809" s="2"/>
    </row>
    <row r="810">
      <c r="I810" s="2"/>
      <c r="J810" s="2"/>
      <c r="K810" s="2"/>
      <c r="N810" s="2"/>
    </row>
    <row r="811">
      <c r="I811" s="2"/>
      <c r="J811" s="2"/>
      <c r="K811" s="2"/>
      <c r="N811" s="2"/>
    </row>
    <row r="812">
      <c r="I812" s="2"/>
      <c r="J812" s="2"/>
      <c r="K812" s="2"/>
      <c r="N812" s="2"/>
    </row>
    <row r="813">
      <c r="I813" s="2"/>
      <c r="J813" s="2"/>
      <c r="K813" s="2"/>
      <c r="N813" s="2"/>
    </row>
    <row r="814">
      <c r="I814" s="2"/>
      <c r="J814" s="2"/>
      <c r="K814" s="2"/>
      <c r="N814" s="2"/>
    </row>
    <row r="815">
      <c r="I815" s="2"/>
      <c r="J815" s="2"/>
      <c r="K815" s="2"/>
      <c r="N815" s="2"/>
    </row>
    <row r="816">
      <c r="I816" s="2"/>
      <c r="J816" s="2"/>
      <c r="K816" s="2"/>
      <c r="N816" s="2"/>
    </row>
    <row r="817">
      <c r="I817" s="2"/>
      <c r="J817" s="2"/>
      <c r="K817" s="2"/>
      <c r="N817" s="2"/>
    </row>
    <row r="818">
      <c r="I818" s="2"/>
      <c r="J818" s="2"/>
      <c r="K818" s="2"/>
      <c r="N818" s="2"/>
    </row>
    <row r="819">
      <c r="I819" s="2"/>
      <c r="J819" s="2"/>
      <c r="K819" s="2"/>
      <c r="N819" s="2"/>
    </row>
    <row r="820">
      <c r="I820" s="2"/>
      <c r="J820" s="2"/>
      <c r="K820" s="2"/>
      <c r="N820" s="2"/>
    </row>
    <row r="821">
      <c r="I821" s="2"/>
      <c r="J821" s="2"/>
      <c r="K821" s="2"/>
      <c r="N821" s="2"/>
    </row>
    <row r="822">
      <c r="I822" s="2"/>
      <c r="J822" s="2"/>
      <c r="K822" s="2"/>
      <c r="N822" s="2"/>
    </row>
    <row r="823">
      <c r="I823" s="2"/>
      <c r="J823" s="2"/>
      <c r="K823" s="2"/>
      <c r="N823" s="2"/>
    </row>
    <row r="824">
      <c r="I824" s="2"/>
      <c r="J824" s="2"/>
      <c r="K824" s="2"/>
      <c r="N824" s="2"/>
    </row>
    <row r="825">
      <c r="I825" s="2"/>
      <c r="J825" s="2"/>
      <c r="K825" s="2"/>
      <c r="N825" s="2"/>
    </row>
    <row r="826">
      <c r="I826" s="2"/>
      <c r="J826" s="2"/>
      <c r="K826" s="2"/>
      <c r="N826" s="2"/>
    </row>
    <row r="827">
      <c r="I827" s="2"/>
      <c r="J827" s="2"/>
      <c r="K827" s="2"/>
      <c r="N827" s="2"/>
    </row>
    <row r="828">
      <c r="I828" s="2"/>
      <c r="J828" s="2"/>
      <c r="K828" s="2"/>
      <c r="N828" s="2"/>
    </row>
    <row r="829">
      <c r="I829" s="2"/>
      <c r="J829" s="2"/>
      <c r="K829" s="2"/>
      <c r="N829" s="2"/>
    </row>
    <row r="830">
      <c r="I830" s="2"/>
      <c r="J830" s="2"/>
      <c r="K830" s="2"/>
      <c r="N830" s="2"/>
    </row>
    <row r="831">
      <c r="I831" s="2"/>
      <c r="J831" s="2"/>
      <c r="K831" s="2"/>
      <c r="N831" s="2"/>
    </row>
    <row r="832">
      <c r="I832" s="2"/>
      <c r="J832" s="2"/>
      <c r="K832" s="2"/>
      <c r="N832" s="2"/>
    </row>
    <row r="833">
      <c r="I833" s="2"/>
      <c r="J833" s="2"/>
      <c r="K833" s="2"/>
      <c r="N833" s="2"/>
    </row>
    <row r="834">
      <c r="I834" s="2"/>
      <c r="J834" s="2"/>
      <c r="K834" s="2"/>
      <c r="N834" s="2"/>
    </row>
    <row r="835">
      <c r="I835" s="2"/>
      <c r="J835" s="2"/>
      <c r="K835" s="2"/>
      <c r="N835" s="2"/>
    </row>
    <row r="836">
      <c r="I836" s="2"/>
      <c r="J836" s="2"/>
      <c r="K836" s="2"/>
      <c r="N836" s="2"/>
    </row>
    <row r="837">
      <c r="I837" s="2"/>
      <c r="J837" s="2"/>
      <c r="K837" s="2"/>
      <c r="N837" s="2"/>
    </row>
    <row r="838">
      <c r="I838" s="2"/>
      <c r="J838" s="2"/>
      <c r="K838" s="2"/>
      <c r="N838" s="2"/>
    </row>
    <row r="839">
      <c r="I839" s="2"/>
      <c r="J839" s="2"/>
      <c r="K839" s="2"/>
      <c r="N839" s="2"/>
    </row>
    <row r="840">
      <c r="I840" s="2"/>
      <c r="J840" s="2"/>
      <c r="K840" s="2"/>
      <c r="N840" s="2"/>
    </row>
    <row r="841">
      <c r="I841" s="2"/>
      <c r="J841" s="2"/>
      <c r="K841" s="2"/>
      <c r="N841" s="2"/>
    </row>
    <row r="842">
      <c r="I842" s="2"/>
      <c r="J842" s="2"/>
      <c r="K842" s="2"/>
      <c r="N842" s="2"/>
    </row>
    <row r="843">
      <c r="I843" s="2"/>
      <c r="J843" s="2"/>
      <c r="K843" s="2"/>
      <c r="N843" s="2"/>
    </row>
    <row r="844">
      <c r="I844" s="2"/>
      <c r="J844" s="2"/>
      <c r="K844" s="2"/>
      <c r="N844" s="2"/>
    </row>
    <row r="845">
      <c r="I845" s="2"/>
      <c r="J845" s="2"/>
      <c r="K845" s="2"/>
      <c r="N845" s="2"/>
    </row>
    <row r="846">
      <c r="I846" s="2"/>
      <c r="J846" s="2"/>
      <c r="K846" s="2"/>
      <c r="N846" s="2"/>
    </row>
    <row r="847">
      <c r="I847" s="2"/>
      <c r="J847" s="2"/>
      <c r="K847" s="2"/>
      <c r="N847" s="2"/>
    </row>
    <row r="848">
      <c r="I848" s="2"/>
      <c r="J848" s="2"/>
      <c r="K848" s="2"/>
      <c r="N848" s="2"/>
    </row>
    <row r="849">
      <c r="I849" s="2"/>
      <c r="J849" s="2"/>
      <c r="K849" s="2"/>
      <c r="N849" s="2"/>
    </row>
    <row r="850">
      <c r="I850" s="2"/>
      <c r="J850" s="2"/>
      <c r="K850" s="2"/>
      <c r="N850" s="2"/>
    </row>
    <row r="851">
      <c r="I851" s="2"/>
      <c r="J851" s="2"/>
      <c r="K851" s="2"/>
      <c r="N851" s="2"/>
    </row>
    <row r="852">
      <c r="I852" s="2"/>
      <c r="J852" s="2"/>
      <c r="K852" s="2"/>
      <c r="N852" s="2"/>
    </row>
    <row r="853">
      <c r="I853" s="2"/>
      <c r="J853" s="2"/>
      <c r="K853" s="2"/>
      <c r="N853" s="2"/>
    </row>
    <row r="854">
      <c r="I854" s="2"/>
      <c r="J854" s="2"/>
      <c r="K854" s="2"/>
      <c r="N854" s="2"/>
    </row>
    <row r="855">
      <c r="I855" s="2"/>
      <c r="J855" s="2"/>
      <c r="K855" s="2"/>
      <c r="N855" s="2"/>
    </row>
    <row r="856">
      <c r="I856" s="2"/>
      <c r="J856" s="2"/>
      <c r="K856" s="2"/>
      <c r="N856" s="2"/>
    </row>
    <row r="857">
      <c r="I857" s="2"/>
      <c r="J857" s="2"/>
      <c r="K857" s="2"/>
      <c r="N857" s="2"/>
    </row>
    <row r="858">
      <c r="I858" s="2"/>
      <c r="J858" s="2"/>
      <c r="K858" s="2"/>
      <c r="N858" s="2"/>
    </row>
    <row r="859">
      <c r="I859" s="2"/>
      <c r="J859" s="2"/>
      <c r="K859" s="2"/>
      <c r="N859" s="2"/>
    </row>
    <row r="860">
      <c r="I860" s="2"/>
      <c r="J860" s="2"/>
      <c r="K860" s="2"/>
      <c r="N860" s="2"/>
    </row>
    <row r="861">
      <c r="I861" s="2"/>
      <c r="J861" s="2"/>
      <c r="K861" s="2"/>
      <c r="N861" s="2"/>
    </row>
    <row r="862">
      <c r="I862" s="2"/>
      <c r="J862" s="2"/>
      <c r="K862" s="2"/>
      <c r="N862" s="2"/>
    </row>
    <row r="863">
      <c r="I863" s="2"/>
      <c r="J863" s="2"/>
      <c r="K863" s="2"/>
      <c r="N863" s="2"/>
    </row>
    <row r="864">
      <c r="I864" s="2"/>
      <c r="J864" s="2"/>
      <c r="K864" s="2"/>
      <c r="N864" s="2"/>
    </row>
    <row r="865">
      <c r="I865" s="2"/>
      <c r="J865" s="2"/>
      <c r="K865" s="2"/>
      <c r="N865" s="2"/>
    </row>
    <row r="866">
      <c r="I866" s="2"/>
      <c r="J866" s="2"/>
      <c r="K866" s="2"/>
      <c r="N866" s="2"/>
    </row>
    <row r="867">
      <c r="I867" s="2"/>
      <c r="J867" s="2"/>
      <c r="K867" s="2"/>
      <c r="N867" s="2"/>
    </row>
    <row r="868">
      <c r="I868" s="2"/>
      <c r="J868" s="2"/>
      <c r="K868" s="2"/>
      <c r="N868" s="2"/>
    </row>
    <row r="869">
      <c r="I869" s="2"/>
      <c r="J869" s="2"/>
      <c r="K869" s="2"/>
      <c r="N869" s="2"/>
    </row>
    <row r="870">
      <c r="I870" s="2"/>
      <c r="J870" s="2"/>
      <c r="K870" s="2"/>
      <c r="N870" s="2"/>
    </row>
    <row r="871">
      <c r="I871" s="2"/>
      <c r="J871" s="2"/>
      <c r="K871" s="2"/>
      <c r="N871" s="2"/>
    </row>
    <row r="872">
      <c r="I872" s="2"/>
      <c r="J872" s="2"/>
      <c r="K872" s="2"/>
      <c r="N872" s="2"/>
    </row>
    <row r="873">
      <c r="I873" s="2"/>
      <c r="J873" s="2"/>
      <c r="K873" s="2"/>
      <c r="N873" s="2"/>
    </row>
    <row r="874">
      <c r="I874" s="2"/>
      <c r="J874" s="2"/>
      <c r="K874" s="2"/>
      <c r="N874" s="2"/>
    </row>
    <row r="875">
      <c r="I875" s="2"/>
      <c r="J875" s="2"/>
      <c r="K875" s="2"/>
      <c r="N875" s="2"/>
    </row>
    <row r="876">
      <c r="I876" s="2"/>
      <c r="J876" s="2"/>
      <c r="K876" s="2"/>
      <c r="N876" s="2"/>
    </row>
    <row r="877">
      <c r="I877" s="2"/>
      <c r="J877" s="2"/>
      <c r="K877" s="2"/>
      <c r="N877" s="2"/>
    </row>
    <row r="878">
      <c r="I878" s="2"/>
      <c r="J878" s="2"/>
      <c r="K878" s="2"/>
      <c r="N878" s="2"/>
    </row>
    <row r="879">
      <c r="I879" s="2"/>
      <c r="J879" s="2"/>
      <c r="K879" s="2"/>
      <c r="N879" s="2"/>
    </row>
    <row r="880">
      <c r="I880" s="2"/>
      <c r="J880" s="2"/>
      <c r="K880" s="2"/>
      <c r="N880" s="2"/>
    </row>
    <row r="881">
      <c r="I881" s="2"/>
      <c r="J881" s="2"/>
      <c r="K881" s="2"/>
      <c r="N881" s="2"/>
    </row>
    <row r="882">
      <c r="I882" s="2"/>
      <c r="J882" s="2"/>
      <c r="K882" s="2"/>
      <c r="N882" s="2"/>
    </row>
    <row r="883">
      <c r="I883" s="2"/>
      <c r="J883" s="2"/>
      <c r="K883" s="2"/>
      <c r="N883" s="2"/>
    </row>
    <row r="884">
      <c r="I884" s="2"/>
      <c r="J884" s="2"/>
      <c r="K884" s="2"/>
      <c r="N884" s="2"/>
    </row>
    <row r="885">
      <c r="I885" s="2"/>
      <c r="J885" s="2"/>
      <c r="K885" s="2"/>
      <c r="N885" s="2"/>
    </row>
    <row r="886">
      <c r="I886" s="2"/>
      <c r="J886" s="2"/>
      <c r="K886" s="2"/>
      <c r="N886" s="2"/>
    </row>
    <row r="887">
      <c r="I887" s="2"/>
      <c r="J887" s="2"/>
      <c r="K887" s="2"/>
      <c r="N887" s="2"/>
    </row>
    <row r="888">
      <c r="I888" s="2"/>
      <c r="J888" s="2"/>
      <c r="K888" s="2"/>
      <c r="N888" s="2"/>
    </row>
    <row r="889">
      <c r="I889" s="2"/>
      <c r="J889" s="2"/>
      <c r="K889" s="2"/>
      <c r="N889" s="2"/>
    </row>
    <row r="890">
      <c r="I890" s="2"/>
      <c r="J890" s="2"/>
      <c r="K890" s="2"/>
      <c r="N890" s="2"/>
    </row>
    <row r="891">
      <c r="I891" s="2"/>
      <c r="J891" s="2"/>
      <c r="K891" s="2"/>
      <c r="N891" s="2"/>
    </row>
    <row r="892">
      <c r="I892" s="2"/>
      <c r="J892" s="2"/>
      <c r="K892" s="2"/>
      <c r="N892" s="2"/>
    </row>
    <row r="893">
      <c r="I893" s="2"/>
      <c r="J893" s="2"/>
      <c r="K893" s="2"/>
      <c r="N893" s="2"/>
    </row>
    <row r="894">
      <c r="I894" s="2"/>
      <c r="J894" s="2"/>
      <c r="K894" s="2"/>
      <c r="N894" s="2"/>
    </row>
    <row r="895">
      <c r="I895" s="2"/>
      <c r="J895" s="2"/>
      <c r="K895" s="2"/>
      <c r="N895" s="2"/>
    </row>
    <row r="896">
      <c r="I896" s="2"/>
      <c r="J896" s="2"/>
      <c r="K896" s="2"/>
      <c r="N896" s="2"/>
    </row>
    <row r="897">
      <c r="I897" s="2"/>
      <c r="J897" s="2"/>
      <c r="K897" s="2"/>
      <c r="N897" s="2"/>
    </row>
    <row r="898">
      <c r="I898" s="2"/>
      <c r="J898" s="2"/>
      <c r="K898" s="2"/>
      <c r="N898" s="2"/>
    </row>
    <row r="899">
      <c r="I899" s="2"/>
      <c r="J899" s="2"/>
      <c r="K899" s="2"/>
      <c r="N899" s="2"/>
    </row>
    <row r="900">
      <c r="I900" s="2"/>
      <c r="J900" s="2"/>
      <c r="K900" s="2"/>
      <c r="N900" s="2"/>
    </row>
    <row r="901">
      <c r="I901" s="2"/>
      <c r="J901" s="2"/>
      <c r="K901" s="2"/>
      <c r="N901" s="2"/>
    </row>
    <row r="902">
      <c r="I902" s="2"/>
      <c r="J902" s="2"/>
      <c r="K902" s="2"/>
      <c r="N902" s="2"/>
    </row>
    <row r="903">
      <c r="I903" s="2"/>
      <c r="J903" s="2"/>
      <c r="K903" s="2"/>
      <c r="N903" s="2"/>
    </row>
    <row r="904">
      <c r="I904" s="2"/>
      <c r="J904" s="2"/>
      <c r="K904" s="2"/>
      <c r="N904" s="2"/>
    </row>
    <row r="905">
      <c r="I905" s="2"/>
      <c r="J905" s="2"/>
      <c r="K905" s="2"/>
      <c r="N905" s="2"/>
    </row>
    <row r="906">
      <c r="I906" s="2"/>
      <c r="J906" s="2"/>
      <c r="K906" s="2"/>
      <c r="N906" s="2"/>
    </row>
    <row r="907">
      <c r="I907" s="2"/>
      <c r="J907" s="2"/>
      <c r="K907" s="2"/>
      <c r="N907" s="2"/>
    </row>
    <row r="908">
      <c r="I908" s="2"/>
      <c r="J908" s="2"/>
      <c r="K908" s="2"/>
      <c r="N908" s="2"/>
    </row>
    <row r="909">
      <c r="I909" s="2"/>
      <c r="J909" s="2"/>
      <c r="K909" s="2"/>
      <c r="N909" s="2"/>
    </row>
    <row r="910">
      <c r="I910" s="2"/>
      <c r="J910" s="2"/>
      <c r="K910" s="2"/>
      <c r="N910" s="2"/>
    </row>
    <row r="911">
      <c r="I911" s="2"/>
      <c r="J911" s="2"/>
      <c r="K911" s="2"/>
      <c r="N911" s="2"/>
    </row>
    <row r="912">
      <c r="I912" s="2"/>
      <c r="J912" s="2"/>
      <c r="K912" s="2"/>
      <c r="N912" s="2"/>
    </row>
    <row r="913">
      <c r="I913" s="2"/>
      <c r="J913" s="2"/>
      <c r="K913" s="2"/>
      <c r="N913" s="2"/>
    </row>
    <row r="914">
      <c r="I914" s="2"/>
      <c r="J914" s="2"/>
      <c r="K914" s="2"/>
      <c r="N914" s="2"/>
    </row>
    <row r="915">
      <c r="I915" s="2"/>
      <c r="J915" s="2"/>
      <c r="K915" s="2"/>
      <c r="N915" s="2"/>
    </row>
    <row r="916">
      <c r="I916" s="2"/>
      <c r="J916" s="2"/>
      <c r="K916" s="2"/>
      <c r="N916" s="2"/>
    </row>
    <row r="917">
      <c r="I917" s="2"/>
      <c r="J917" s="2"/>
      <c r="K917" s="2"/>
      <c r="N917" s="2"/>
    </row>
    <row r="918">
      <c r="I918" s="2"/>
      <c r="J918" s="2"/>
      <c r="K918" s="2"/>
      <c r="N918" s="2"/>
    </row>
    <row r="919">
      <c r="I919" s="2"/>
      <c r="J919" s="2"/>
      <c r="K919" s="2"/>
      <c r="N919" s="2"/>
    </row>
    <row r="920">
      <c r="I920" s="2"/>
      <c r="J920" s="2"/>
      <c r="K920" s="2"/>
      <c r="N920" s="2"/>
    </row>
    <row r="921">
      <c r="I921" s="2"/>
      <c r="J921" s="2"/>
      <c r="K921" s="2"/>
      <c r="N921" s="2"/>
    </row>
    <row r="922">
      <c r="I922" s="2"/>
      <c r="J922" s="2"/>
      <c r="K922" s="2"/>
      <c r="N922" s="2"/>
    </row>
    <row r="923">
      <c r="I923" s="2"/>
      <c r="J923" s="2"/>
      <c r="K923" s="2"/>
      <c r="N923" s="2"/>
    </row>
    <row r="924">
      <c r="I924" s="2"/>
      <c r="J924" s="2"/>
      <c r="K924" s="2"/>
      <c r="N924" s="2"/>
    </row>
    <row r="925">
      <c r="I925" s="2"/>
      <c r="J925" s="2"/>
      <c r="K925" s="2"/>
      <c r="N925" s="2"/>
    </row>
    <row r="926">
      <c r="I926" s="2"/>
      <c r="J926" s="2"/>
      <c r="K926" s="2"/>
      <c r="N926" s="2"/>
    </row>
    <row r="927">
      <c r="I927" s="2"/>
      <c r="J927" s="2"/>
      <c r="K927" s="2"/>
      <c r="N927" s="2"/>
    </row>
    <row r="928">
      <c r="I928" s="2"/>
      <c r="J928" s="2"/>
      <c r="K928" s="2"/>
      <c r="N928" s="2"/>
    </row>
    <row r="929">
      <c r="I929" s="2"/>
      <c r="J929" s="2"/>
      <c r="K929" s="2"/>
      <c r="N929" s="2"/>
    </row>
    <row r="930">
      <c r="I930" s="2"/>
      <c r="J930" s="2"/>
      <c r="K930" s="2"/>
      <c r="N930" s="2"/>
    </row>
    <row r="931">
      <c r="I931" s="2"/>
      <c r="J931" s="2"/>
      <c r="K931" s="2"/>
      <c r="N931" s="2"/>
    </row>
    <row r="932">
      <c r="I932" s="2"/>
      <c r="J932" s="2"/>
      <c r="K932" s="2"/>
      <c r="N932" s="2"/>
    </row>
    <row r="933">
      <c r="I933" s="2"/>
      <c r="J933" s="2"/>
      <c r="K933" s="2"/>
      <c r="N933" s="2"/>
    </row>
    <row r="934">
      <c r="I934" s="2"/>
      <c r="J934" s="2"/>
      <c r="K934" s="2"/>
      <c r="N934" s="2"/>
    </row>
    <row r="935">
      <c r="I935" s="2"/>
      <c r="J935" s="2"/>
      <c r="K935" s="2"/>
      <c r="N935" s="2"/>
    </row>
    <row r="936">
      <c r="I936" s="2"/>
      <c r="J936" s="2"/>
      <c r="K936" s="2"/>
      <c r="N936" s="2"/>
    </row>
    <row r="937">
      <c r="I937" s="2"/>
      <c r="J937" s="2"/>
      <c r="K937" s="2"/>
      <c r="N937" s="2"/>
    </row>
    <row r="938">
      <c r="I938" s="2"/>
      <c r="J938" s="2"/>
      <c r="K938" s="2"/>
      <c r="N938" s="2"/>
    </row>
    <row r="939">
      <c r="I939" s="2"/>
      <c r="J939" s="2"/>
      <c r="K939" s="2"/>
      <c r="N939" s="2"/>
    </row>
    <row r="940">
      <c r="I940" s="2"/>
      <c r="J940" s="2"/>
      <c r="K940" s="2"/>
      <c r="N940" s="2"/>
    </row>
    <row r="941">
      <c r="I941" s="2"/>
      <c r="J941" s="2"/>
      <c r="K941" s="2"/>
      <c r="N941" s="2"/>
    </row>
    <row r="942">
      <c r="I942" s="2"/>
      <c r="J942" s="2"/>
      <c r="K942" s="2"/>
      <c r="N942" s="2"/>
    </row>
    <row r="943">
      <c r="I943" s="2"/>
      <c r="J943" s="2"/>
      <c r="K943" s="2"/>
      <c r="N943" s="2"/>
    </row>
    <row r="944">
      <c r="I944" s="2"/>
      <c r="J944" s="2"/>
      <c r="K944" s="2"/>
      <c r="N944" s="2"/>
    </row>
    <row r="945">
      <c r="I945" s="2"/>
      <c r="J945" s="2"/>
      <c r="K945" s="2"/>
      <c r="N945" s="2"/>
    </row>
    <row r="946">
      <c r="I946" s="2"/>
      <c r="J946" s="2"/>
      <c r="K946" s="2"/>
      <c r="N946" s="2"/>
    </row>
    <row r="947">
      <c r="I947" s="2"/>
      <c r="J947" s="2"/>
      <c r="K947" s="2"/>
      <c r="N947" s="2"/>
    </row>
    <row r="948">
      <c r="I948" s="2"/>
      <c r="J948" s="2"/>
      <c r="K948" s="2"/>
      <c r="N948" s="2"/>
    </row>
    <row r="949">
      <c r="I949" s="2"/>
      <c r="J949" s="2"/>
      <c r="K949" s="2"/>
      <c r="N949" s="2"/>
    </row>
    <row r="950">
      <c r="I950" s="2"/>
      <c r="J950" s="2"/>
      <c r="K950" s="2"/>
      <c r="N950" s="2"/>
    </row>
    <row r="951">
      <c r="I951" s="2"/>
      <c r="J951" s="2"/>
      <c r="K951" s="2"/>
      <c r="N951" s="2"/>
    </row>
    <row r="952">
      <c r="I952" s="2"/>
      <c r="J952" s="2"/>
      <c r="K952" s="2"/>
      <c r="N952" s="2"/>
    </row>
    <row r="953">
      <c r="I953" s="2"/>
      <c r="J953" s="2"/>
      <c r="K953" s="2"/>
      <c r="N953" s="2"/>
    </row>
    <row r="954">
      <c r="I954" s="2"/>
      <c r="J954" s="2"/>
      <c r="K954" s="2"/>
      <c r="N954" s="2"/>
    </row>
    <row r="955">
      <c r="I955" s="2"/>
      <c r="J955" s="2"/>
      <c r="K955" s="2"/>
      <c r="N955" s="2"/>
    </row>
    <row r="956">
      <c r="I956" s="2"/>
      <c r="J956" s="2"/>
      <c r="K956" s="2"/>
      <c r="N956" s="2"/>
    </row>
    <row r="957">
      <c r="I957" s="2"/>
      <c r="J957" s="2"/>
      <c r="K957" s="2"/>
      <c r="N957" s="2"/>
    </row>
    <row r="958">
      <c r="I958" s="2"/>
      <c r="J958" s="2"/>
      <c r="K958" s="2"/>
      <c r="N958" s="2"/>
    </row>
    <row r="959">
      <c r="I959" s="2"/>
      <c r="J959" s="2"/>
      <c r="K959" s="2"/>
      <c r="N959" s="2"/>
    </row>
    <row r="960">
      <c r="I960" s="2"/>
      <c r="J960" s="2"/>
      <c r="K960" s="2"/>
      <c r="N960" s="2"/>
    </row>
    <row r="961">
      <c r="I961" s="2"/>
      <c r="J961" s="2"/>
      <c r="K961" s="2"/>
      <c r="N961" s="2"/>
    </row>
    <row r="962">
      <c r="I962" s="2"/>
      <c r="J962" s="2"/>
      <c r="K962" s="2"/>
      <c r="N962" s="2"/>
    </row>
    <row r="963">
      <c r="I963" s="2"/>
      <c r="J963" s="2"/>
      <c r="K963" s="2"/>
      <c r="N963" s="2"/>
    </row>
    <row r="964">
      <c r="I964" s="2"/>
      <c r="J964" s="2"/>
      <c r="K964" s="2"/>
      <c r="N964" s="2"/>
    </row>
    <row r="965">
      <c r="I965" s="2"/>
      <c r="J965" s="2"/>
      <c r="K965" s="2"/>
      <c r="N965" s="2"/>
    </row>
    <row r="966">
      <c r="I966" s="2"/>
      <c r="J966" s="2"/>
      <c r="K966" s="2"/>
      <c r="N966" s="2"/>
    </row>
    <row r="967">
      <c r="I967" s="2"/>
      <c r="J967" s="2"/>
      <c r="K967" s="2"/>
      <c r="N967" s="2"/>
    </row>
    <row r="968">
      <c r="I968" s="2"/>
      <c r="J968" s="2"/>
      <c r="K968" s="2"/>
      <c r="N968" s="2"/>
    </row>
    <row r="969">
      <c r="I969" s="2"/>
      <c r="J969" s="2"/>
      <c r="K969" s="2"/>
      <c r="N969" s="2"/>
    </row>
    <row r="970">
      <c r="I970" s="2"/>
      <c r="J970" s="2"/>
      <c r="K970" s="2"/>
      <c r="N970" s="2"/>
    </row>
    <row r="971">
      <c r="I971" s="2"/>
      <c r="J971" s="2"/>
      <c r="K971" s="2"/>
      <c r="N971" s="2"/>
    </row>
    <row r="972">
      <c r="I972" s="2"/>
      <c r="J972" s="2"/>
      <c r="K972" s="2"/>
      <c r="N972" s="2"/>
    </row>
    <row r="973">
      <c r="I973" s="2"/>
      <c r="J973" s="2"/>
      <c r="K973" s="2"/>
      <c r="N973" s="2"/>
    </row>
    <row r="974">
      <c r="I974" s="2"/>
      <c r="J974" s="2"/>
      <c r="K974" s="2"/>
      <c r="N974" s="2"/>
    </row>
    <row r="975">
      <c r="I975" s="2"/>
      <c r="J975" s="2"/>
      <c r="K975" s="2"/>
      <c r="N975" s="2"/>
    </row>
    <row r="976">
      <c r="I976" s="2"/>
      <c r="J976" s="2"/>
      <c r="K976" s="2"/>
      <c r="N976" s="2"/>
    </row>
    <row r="977">
      <c r="I977" s="2"/>
      <c r="J977" s="2"/>
      <c r="K977" s="2"/>
      <c r="N977" s="2"/>
    </row>
    <row r="978">
      <c r="I978" s="2"/>
      <c r="J978" s="2"/>
      <c r="K978" s="2"/>
      <c r="N978" s="2"/>
    </row>
    <row r="979">
      <c r="I979" s="2"/>
      <c r="J979" s="2"/>
      <c r="K979" s="2"/>
      <c r="N979" s="2"/>
    </row>
    <row r="980">
      <c r="I980" s="2"/>
      <c r="J980" s="2"/>
      <c r="K980" s="2"/>
      <c r="N980" s="2"/>
    </row>
    <row r="981">
      <c r="I981" s="2"/>
      <c r="J981" s="2"/>
      <c r="K981" s="2"/>
      <c r="N981" s="2"/>
    </row>
    <row r="982">
      <c r="I982" s="2"/>
      <c r="J982" s="2"/>
      <c r="K982" s="2"/>
      <c r="N982" s="2"/>
    </row>
    <row r="983">
      <c r="I983" s="2"/>
      <c r="J983" s="2"/>
      <c r="K983" s="2"/>
      <c r="N983" s="2"/>
    </row>
    <row r="984">
      <c r="I984" s="2"/>
      <c r="J984" s="2"/>
      <c r="K984" s="2"/>
      <c r="N984" s="2"/>
    </row>
    <row r="985">
      <c r="I985" s="2"/>
      <c r="J985" s="2"/>
      <c r="K985" s="2"/>
      <c r="N985" s="2"/>
    </row>
    <row r="986">
      <c r="I986" s="2"/>
      <c r="J986" s="2"/>
      <c r="K986" s="2"/>
      <c r="N986" s="2"/>
    </row>
    <row r="987">
      <c r="I987" s="2"/>
      <c r="J987" s="2"/>
      <c r="K987" s="2"/>
      <c r="N987" s="2"/>
    </row>
    <row r="988">
      <c r="I988" s="2"/>
      <c r="J988" s="2"/>
      <c r="K988" s="2"/>
      <c r="N988" s="2"/>
    </row>
    <row r="989">
      <c r="I989" s="2"/>
      <c r="J989" s="2"/>
      <c r="K989" s="2"/>
      <c r="N989" s="2"/>
    </row>
    <row r="990">
      <c r="I990" s="2"/>
      <c r="J990" s="2"/>
      <c r="K990" s="2"/>
      <c r="N990" s="2"/>
    </row>
    <row r="991">
      <c r="I991" s="2"/>
      <c r="J991" s="2"/>
      <c r="K991" s="2"/>
      <c r="N991" s="2"/>
    </row>
    <row r="992">
      <c r="I992" s="2"/>
      <c r="J992" s="2"/>
      <c r="K992" s="2"/>
      <c r="N992" s="2"/>
    </row>
    <row r="993">
      <c r="I993" s="2"/>
      <c r="J993" s="2"/>
      <c r="K993" s="2"/>
      <c r="N993" s="2"/>
    </row>
    <row r="994">
      <c r="I994" s="2"/>
      <c r="J994" s="2"/>
      <c r="K994" s="2"/>
      <c r="N994" s="2"/>
    </row>
    <row r="995">
      <c r="I995" s="2"/>
      <c r="J995" s="2"/>
      <c r="K995" s="2"/>
      <c r="N995" s="2"/>
    </row>
    <row r="996">
      <c r="I996" s="2"/>
      <c r="J996" s="2"/>
      <c r="K996" s="2"/>
      <c r="N996" s="2"/>
    </row>
    <row r="997">
      <c r="I997" s="2"/>
      <c r="J997" s="2"/>
      <c r="K997" s="2"/>
      <c r="N997" s="2"/>
    </row>
    <row r="998">
      <c r="I998" s="2"/>
      <c r="J998" s="2"/>
      <c r="K998" s="2"/>
      <c r="N998" s="2"/>
    </row>
    <row r="999">
      <c r="I999" s="2"/>
      <c r="J999" s="2"/>
      <c r="K999" s="2"/>
      <c r="N999" s="2"/>
    </row>
    <row r="1000">
      <c r="I1000" s="2"/>
      <c r="J1000" s="2"/>
      <c r="K1000" s="2"/>
      <c r="N1000" s="2"/>
    </row>
    <row r="1001">
      <c r="I1001" s="2"/>
      <c r="J1001" s="2"/>
      <c r="K1001" s="2"/>
      <c r="N1001" s="2"/>
    </row>
    <row r="1002">
      <c r="I1002" s="2"/>
      <c r="J1002" s="2"/>
      <c r="K1002" s="2"/>
      <c r="N1002" s="2"/>
    </row>
    <row r="1003">
      <c r="I1003" s="2"/>
      <c r="J1003" s="2"/>
      <c r="K1003" s="2"/>
      <c r="N1003" s="2"/>
    </row>
    <row r="1004">
      <c r="I1004" s="2"/>
      <c r="J1004" s="2"/>
      <c r="K1004" s="2"/>
      <c r="N1004" s="2"/>
    </row>
    <row r="1005">
      <c r="I1005" s="2"/>
      <c r="J1005" s="2"/>
      <c r="K1005" s="2"/>
      <c r="N1005" s="2"/>
    </row>
    <row r="1006">
      <c r="I1006" s="2"/>
      <c r="J1006" s="2"/>
      <c r="K1006" s="2"/>
      <c r="N1006" s="2"/>
    </row>
    <row r="1007">
      <c r="I1007" s="2"/>
      <c r="J1007" s="2"/>
      <c r="K1007" s="2"/>
      <c r="N1007" s="2"/>
    </row>
    <row r="1008">
      <c r="I1008" s="2"/>
      <c r="J1008" s="2"/>
      <c r="K1008" s="2"/>
      <c r="N1008" s="2"/>
    </row>
    <row r="1009">
      <c r="I1009" s="2"/>
      <c r="J1009" s="2"/>
      <c r="K1009" s="2"/>
      <c r="N1009" s="2"/>
    </row>
    <row r="1010">
      <c r="I1010" s="2"/>
      <c r="J1010" s="2"/>
      <c r="K1010" s="2"/>
      <c r="N1010" s="2"/>
    </row>
    <row r="1011">
      <c r="I1011" s="2"/>
      <c r="J1011" s="2"/>
      <c r="K1011" s="2"/>
      <c r="N1011" s="2"/>
    </row>
    <row r="1012">
      <c r="I1012" s="2"/>
      <c r="J1012" s="2"/>
      <c r="K1012" s="2"/>
      <c r="N1012" s="2"/>
    </row>
    <row r="1013">
      <c r="I1013" s="2"/>
      <c r="J1013" s="2"/>
      <c r="K1013" s="2"/>
      <c r="N1013" s="2"/>
    </row>
    <row r="1014">
      <c r="I1014" s="2"/>
      <c r="J1014" s="2"/>
      <c r="K1014" s="2"/>
      <c r="N1014" s="2"/>
    </row>
    <row r="1015">
      <c r="I1015" s="2"/>
      <c r="J1015" s="2"/>
      <c r="K1015" s="2"/>
      <c r="N1015" s="2"/>
    </row>
    <row r="1016">
      <c r="I1016" s="2"/>
      <c r="J1016" s="2"/>
      <c r="K1016" s="2"/>
      <c r="N1016" s="2"/>
    </row>
    <row r="1017">
      <c r="I1017" s="2"/>
      <c r="J1017" s="2"/>
      <c r="K1017" s="2"/>
      <c r="N1017" s="2"/>
    </row>
    <row r="1018">
      <c r="I1018" s="2"/>
      <c r="J1018" s="2"/>
      <c r="K1018" s="2"/>
      <c r="N1018" s="2"/>
    </row>
    <row r="1019">
      <c r="I1019" s="2"/>
      <c r="J1019" s="2"/>
      <c r="K1019" s="2"/>
      <c r="N1019" s="2"/>
    </row>
    <row r="1020">
      <c r="I1020" s="2"/>
      <c r="J1020" s="2"/>
      <c r="K1020" s="2"/>
      <c r="N1020" s="2"/>
    </row>
    <row r="1021">
      <c r="I1021" s="2"/>
      <c r="J1021" s="2"/>
      <c r="K1021" s="2"/>
      <c r="N1021" s="2"/>
    </row>
    <row r="1022">
      <c r="I1022" s="2"/>
      <c r="J1022" s="2"/>
      <c r="K1022" s="2"/>
      <c r="N1022" s="2"/>
    </row>
    <row r="1023">
      <c r="I1023" s="2"/>
      <c r="J1023" s="2"/>
      <c r="K1023" s="2"/>
      <c r="N1023" s="2"/>
    </row>
    <row r="1024">
      <c r="I1024" s="2"/>
      <c r="J1024" s="2"/>
      <c r="K1024" s="2"/>
      <c r="N1024" s="2"/>
    </row>
    <row r="1025">
      <c r="I1025" s="2"/>
      <c r="J1025" s="2"/>
      <c r="K1025" s="2"/>
      <c r="N1025" s="2"/>
    </row>
    <row r="1026">
      <c r="I1026" s="2"/>
      <c r="J1026" s="2"/>
      <c r="K1026" s="2"/>
      <c r="N1026" s="2"/>
    </row>
    <row r="1027">
      <c r="I1027" s="2"/>
      <c r="J1027" s="2"/>
      <c r="K1027" s="2"/>
      <c r="N1027" s="2"/>
    </row>
    <row r="1028">
      <c r="I1028" s="2"/>
      <c r="J1028" s="2"/>
      <c r="K1028" s="2"/>
      <c r="N1028" s="2"/>
    </row>
    <row r="1029">
      <c r="I1029" s="2"/>
      <c r="J1029" s="2"/>
      <c r="K1029" s="2"/>
      <c r="N1029" s="2"/>
    </row>
    <row r="1030">
      <c r="I1030" s="2"/>
      <c r="J1030" s="2"/>
      <c r="K1030" s="2"/>
      <c r="N1030" s="2"/>
    </row>
    <row r="1031">
      <c r="I1031" s="2"/>
      <c r="J1031" s="2"/>
      <c r="K1031" s="2"/>
      <c r="N1031" s="2"/>
    </row>
    <row r="1032">
      <c r="I1032" s="2"/>
      <c r="J1032" s="2"/>
      <c r="K1032" s="2"/>
      <c r="N1032" s="2"/>
    </row>
    <row r="1033">
      <c r="I1033" s="2"/>
      <c r="J1033" s="2"/>
      <c r="K1033" s="2"/>
      <c r="N1033" s="2"/>
    </row>
    <row r="1034">
      <c r="I1034" s="2"/>
      <c r="J1034" s="2"/>
      <c r="K1034" s="2"/>
      <c r="N1034" s="2"/>
    </row>
    <row r="1035">
      <c r="I1035" s="2"/>
      <c r="J1035" s="2"/>
      <c r="K1035" s="2"/>
      <c r="N1035" s="2"/>
    </row>
    <row r="1036">
      <c r="I1036" s="2"/>
      <c r="J1036" s="2"/>
      <c r="K1036" s="2"/>
      <c r="N1036" s="2"/>
    </row>
    <row r="1037">
      <c r="I1037" s="2"/>
      <c r="J1037" s="2"/>
      <c r="K1037" s="2"/>
      <c r="N1037" s="2"/>
    </row>
    <row r="1038">
      <c r="I1038" s="2"/>
      <c r="J1038" s="2"/>
      <c r="K1038" s="2"/>
      <c r="N1038" s="2"/>
    </row>
    <row r="1039">
      <c r="I1039" s="2"/>
      <c r="J1039" s="2"/>
      <c r="K1039" s="2"/>
      <c r="N1039" s="2"/>
    </row>
    <row r="1040">
      <c r="I1040" s="2"/>
      <c r="J1040" s="2"/>
      <c r="K1040" s="2"/>
      <c r="N1040" s="2"/>
    </row>
    <row r="1041">
      <c r="I1041" s="2"/>
      <c r="J1041" s="2"/>
      <c r="K1041" s="2"/>
      <c r="N1041" s="2"/>
    </row>
    <row r="1042">
      <c r="I1042" s="2"/>
      <c r="J1042" s="2"/>
      <c r="K1042" s="2"/>
      <c r="N1042" s="2"/>
    </row>
    <row r="1043">
      <c r="I1043" s="2"/>
      <c r="J1043" s="2"/>
      <c r="K1043" s="2"/>
      <c r="N1043" s="2"/>
    </row>
    <row r="1044">
      <c r="I1044" s="2"/>
      <c r="J1044" s="2"/>
      <c r="K1044" s="2"/>
      <c r="N1044" s="2"/>
    </row>
    <row r="1045">
      <c r="I1045" s="2"/>
      <c r="J1045" s="2"/>
      <c r="K1045" s="2"/>
      <c r="N1045" s="2"/>
    </row>
    <row r="1046">
      <c r="I1046" s="2"/>
      <c r="J1046" s="2"/>
      <c r="K1046" s="2"/>
      <c r="N1046" s="2"/>
    </row>
    <row r="1047">
      <c r="I1047" s="2"/>
      <c r="J1047" s="2"/>
      <c r="K1047" s="2"/>
      <c r="N1047" s="2"/>
    </row>
    <row r="1048">
      <c r="I1048" s="2"/>
      <c r="J1048" s="2"/>
      <c r="K1048" s="2"/>
      <c r="N1048" s="2"/>
    </row>
    <row r="1049">
      <c r="I1049" s="2"/>
      <c r="J1049" s="2"/>
      <c r="K1049" s="2"/>
      <c r="N1049" s="2"/>
    </row>
    <row r="1050">
      <c r="I1050" s="2"/>
      <c r="J1050" s="2"/>
      <c r="K1050" s="2"/>
      <c r="N1050" s="2"/>
    </row>
    <row r="1051">
      <c r="I1051" s="2"/>
      <c r="J1051" s="2"/>
      <c r="K1051" s="2"/>
      <c r="N1051" s="2"/>
    </row>
    <row r="1052">
      <c r="I1052" s="2"/>
      <c r="J1052" s="2"/>
      <c r="K1052" s="2"/>
      <c r="N1052" s="2"/>
    </row>
    <row r="1053">
      <c r="I1053" s="2"/>
      <c r="J1053" s="2"/>
      <c r="K1053" s="2"/>
      <c r="N1053" s="2"/>
    </row>
    <row r="1054">
      <c r="I1054" s="2"/>
      <c r="J1054" s="2"/>
      <c r="K1054" s="2"/>
      <c r="N1054" s="2"/>
    </row>
    <row r="1055">
      <c r="I1055" s="2"/>
      <c r="J1055" s="2"/>
      <c r="K1055" s="2"/>
      <c r="N1055" s="2"/>
    </row>
    <row r="1056">
      <c r="I1056" s="2"/>
      <c r="J1056" s="2"/>
      <c r="K1056" s="2"/>
      <c r="N1056" s="2"/>
    </row>
    <row r="1057">
      <c r="I1057" s="2"/>
      <c r="J1057" s="2"/>
      <c r="K1057" s="2"/>
      <c r="N1057" s="2"/>
    </row>
    <row r="1058">
      <c r="I1058" s="2"/>
      <c r="J1058" s="2"/>
      <c r="K1058" s="2"/>
      <c r="N1058" s="2"/>
    </row>
    <row r="1059">
      <c r="I1059" s="2"/>
      <c r="J1059" s="2"/>
      <c r="K1059" s="2"/>
      <c r="N1059" s="2"/>
    </row>
    <row r="1060">
      <c r="I1060" s="2"/>
      <c r="J1060" s="2"/>
      <c r="K1060" s="2"/>
      <c r="N1060" s="2"/>
    </row>
    <row r="1061">
      <c r="I1061" s="2"/>
      <c r="J1061" s="2"/>
      <c r="K1061" s="2"/>
      <c r="N1061" s="2"/>
    </row>
    <row r="1062">
      <c r="I1062" s="2"/>
      <c r="J1062" s="2"/>
      <c r="K1062" s="2"/>
      <c r="N1062" s="2"/>
    </row>
    <row r="1063">
      <c r="I1063" s="2"/>
      <c r="J1063" s="2"/>
      <c r="K1063" s="2"/>
      <c r="N1063" s="2"/>
    </row>
    <row r="1064">
      <c r="I1064" s="2"/>
      <c r="J1064" s="2"/>
      <c r="K1064" s="2"/>
      <c r="N1064" s="2"/>
    </row>
    <row r="1065">
      <c r="I1065" s="2"/>
      <c r="J1065" s="2"/>
      <c r="K1065" s="2"/>
      <c r="N1065" s="2"/>
    </row>
    <row r="1066">
      <c r="I1066" s="2"/>
      <c r="J1066" s="2"/>
      <c r="K1066" s="2"/>
      <c r="N1066" s="2"/>
    </row>
    <row r="1067">
      <c r="I1067" s="2"/>
      <c r="J1067" s="2"/>
      <c r="K1067" s="2"/>
      <c r="N1067" s="2"/>
    </row>
    <row r="1068">
      <c r="I1068" s="2"/>
      <c r="J1068" s="2"/>
      <c r="K1068" s="2"/>
      <c r="N1068" s="2"/>
    </row>
    <row r="1069">
      <c r="I1069" s="2"/>
      <c r="J1069" s="2"/>
      <c r="K1069" s="2"/>
      <c r="N1069" s="2"/>
    </row>
    <row r="1070">
      <c r="I1070" s="2"/>
      <c r="J1070" s="2"/>
      <c r="K1070" s="2"/>
      <c r="N1070" s="2"/>
    </row>
    <row r="1071">
      <c r="I1071" s="2"/>
      <c r="J1071" s="2"/>
      <c r="K1071" s="2"/>
      <c r="N1071" s="2"/>
    </row>
    <row r="1072">
      <c r="I1072" s="2"/>
      <c r="J1072" s="2"/>
      <c r="K1072" s="2"/>
      <c r="N1072" s="2"/>
    </row>
    <row r="1073">
      <c r="I1073" s="2"/>
      <c r="J1073" s="2"/>
      <c r="K1073" s="2"/>
      <c r="N1073" s="2"/>
    </row>
    <row r="1074">
      <c r="I1074" s="2"/>
      <c r="J1074" s="2"/>
      <c r="K1074" s="2"/>
      <c r="N1074" s="2"/>
    </row>
    <row r="1075">
      <c r="I1075" s="2"/>
      <c r="J1075" s="2"/>
      <c r="K1075" s="2"/>
      <c r="N1075" s="2"/>
    </row>
    <row r="1076">
      <c r="I1076" s="2"/>
      <c r="J1076" s="2"/>
      <c r="K1076" s="2"/>
      <c r="N1076" s="2"/>
    </row>
    <row r="1077">
      <c r="I1077" s="2"/>
      <c r="J1077" s="2"/>
      <c r="K1077" s="2"/>
      <c r="N1077" s="2"/>
    </row>
    <row r="1078">
      <c r="I1078" s="2"/>
      <c r="J1078" s="2"/>
      <c r="K1078" s="2"/>
      <c r="N1078" s="2"/>
    </row>
    <row r="1079">
      <c r="I1079" s="2"/>
      <c r="J1079" s="2"/>
      <c r="K1079" s="2"/>
      <c r="N1079" s="2"/>
    </row>
    <row r="1080">
      <c r="I1080" s="2"/>
      <c r="J1080" s="2"/>
      <c r="K1080" s="2"/>
      <c r="N1080" s="2"/>
    </row>
    <row r="1081">
      <c r="I1081" s="2"/>
      <c r="J1081" s="2"/>
      <c r="K1081" s="2"/>
      <c r="N1081" s="2"/>
    </row>
    <row r="1082">
      <c r="I1082" s="2"/>
      <c r="J1082" s="2"/>
      <c r="K1082" s="2"/>
      <c r="N1082" s="2"/>
    </row>
    <row r="1083">
      <c r="I1083" s="2"/>
      <c r="J1083" s="2"/>
      <c r="K1083" s="2"/>
      <c r="N1083" s="2"/>
    </row>
    <row r="1084">
      <c r="I1084" s="2"/>
      <c r="J1084" s="2"/>
      <c r="K1084" s="2"/>
      <c r="N1084" s="2"/>
    </row>
    <row r="1085">
      <c r="I1085" s="2"/>
      <c r="J1085" s="2"/>
      <c r="K1085" s="2"/>
      <c r="N1085" s="2"/>
    </row>
    <row r="1086">
      <c r="I1086" s="2"/>
      <c r="J1086" s="2"/>
      <c r="K1086" s="2"/>
      <c r="N108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</cols>
  <sheetData>
    <row r="1">
      <c r="A1" s="1" t="s">
        <v>0</v>
      </c>
      <c r="B1" s="1" t="s">
        <v>1</v>
      </c>
      <c r="I1" s="2"/>
      <c r="J1" s="2"/>
      <c r="K1" s="2"/>
      <c r="N1" s="2"/>
    </row>
    <row r="2">
      <c r="C2" s="1" t="s">
        <v>2</v>
      </c>
      <c r="D2" s="1" t="s">
        <v>3</v>
      </c>
      <c r="F2" s="1" t="s">
        <v>4</v>
      </c>
      <c r="G2" s="1" t="s">
        <v>5</v>
      </c>
      <c r="H2" s="1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1" t="s">
        <v>11</v>
      </c>
      <c r="N2" s="3" t="s">
        <v>12</v>
      </c>
      <c r="O2" s="1" t="s">
        <v>13</v>
      </c>
    </row>
    <row r="3">
      <c r="B3" s="1" t="s">
        <v>14</v>
      </c>
      <c r="C3" s="15">
        <v>4.8455</v>
      </c>
      <c r="D3" s="15">
        <v>7.535</v>
      </c>
      <c r="E3" s="14"/>
      <c r="F3" s="15">
        <v>0.4872</v>
      </c>
      <c r="G3" s="15">
        <v>0.7955</v>
      </c>
      <c r="H3" s="15">
        <v>0.8214</v>
      </c>
      <c r="I3" s="52">
        <v>0.609</v>
      </c>
      <c r="J3" s="52">
        <v>0.7533</v>
      </c>
      <c r="K3" s="52">
        <v>0.33</v>
      </c>
      <c r="L3" s="15">
        <v>0.8025</v>
      </c>
      <c r="M3" s="15">
        <v>0.6823</v>
      </c>
      <c r="N3" s="52">
        <v>0.738</v>
      </c>
      <c r="O3" s="15">
        <f t="shared" ref="O3:O10" si="1">AVERAGE(F3,G3,H3,L3,M3)</f>
        <v>0.71778</v>
      </c>
    </row>
    <row r="4">
      <c r="A4" s="10" t="s">
        <v>50</v>
      </c>
      <c r="B4" s="1" t="s">
        <v>16</v>
      </c>
      <c r="C4" s="5">
        <v>5.5591</v>
      </c>
      <c r="D4" s="1">
        <v>8.6096</v>
      </c>
      <c r="E4" s="4">
        <f t="shared" ref="E4:E6" si="2">AVERAGE(C4:D4)</f>
        <v>7.08435</v>
      </c>
      <c r="F4" s="1">
        <v>0.44881</v>
      </c>
      <c r="G4" s="1">
        <v>0.76431</v>
      </c>
      <c r="H4" s="1">
        <v>0.79847</v>
      </c>
      <c r="L4" s="1">
        <v>0.7432</v>
      </c>
      <c r="M4" s="1">
        <v>0.5884</v>
      </c>
      <c r="N4" s="1">
        <v>0.7332</v>
      </c>
      <c r="O4" s="15">
        <f t="shared" si="1"/>
        <v>0.668638</v>
      </c>
    </row>
    <row r="5">
      <c r="B5" s="1" t="s">
        <v>51</v>
      </c>
      <c r="C5" s="6">
        <v>5.5302</v>
      </c>
      <c r="D5" s="6">
        <v>8.4911</v>
      </c>
      <c r="E5" s="7">
        <f t="shared" si="2"/>
        <v>7.01065</v>
      </c>
      <c r="F5" s="8">
        <v>0.45392</v>
      </c>
      <c r="G5" s="8">
        <v>0.7664</v>
      </c>
      <c r="H5" s="1">
        <v>0.796</v>
      </c>
      <c r="L5" s="8">
        <v>0.7884</v>
      </c>
      <c r="M5" s="8">
        <v>0.6534</v>
      </c>
      <c r="N5" s="1"/>
      <c r="O5" s="17">
        <f t="shared" si="1"/>
        <v>0.691624</v>
      </c>
      <c r="P5" s="1"/>
      <c r="Q5" s="1"/>
      <c r="R5" s="1"/>
    </row>
    <row r="6">
      <c r="B6" s="35" t="s">
        <v>18</v>
      </c>
      <c r="C6" s="1">
        <v>5.5616</v>
      </c>
      <c r="D6" s="1">
        <v>8.6135</v>
      </c>
      <c r="E6" s="4">
        <f t="shared" si="2"/>
        <v>7.08755</v>
      </c>
      <c r="F6" s="1">
        <v>0.45137</v>
      </c>
      <c r="G6" s="1">
        <v>0.76557</v>
      </c>
      <c r="H6" s="8">
        <v>0.80612</v>
      </c>
      <c r="L6" s="1">
        <v>0.78836</v>
      </c>
      <c r="M6" s="1">
        <v>0.64065</v>
      </c>
      <c r="O6" s="15">
        <f t="shared" si="1"/>
        <v>0.690414</v>
      </c>
    </row>
    <row r="7">
      <c r="A7" s="53" t="s">
        <v>52</v>
      </c>
      <c r="B7" s="53" t="s">
        <v>35</v>
      </c>
      <c r="C7" s="53">
        <v>5.6796</v>
      </c>
      <c r="D7" s="53">
        <v>8.8829</v>
      </c>
      <c r="E7" s="54"/>
      <c r="F7" s="53">
        <v>0.44454</v>
      </c>
      <c r="G7" s="53">
        <v>0.75884</v>
      </c>
      <c r="H7" s="53">
        <v>0.77156</v>
      </c>
      <c r="I7" s="53"/>
      <c r="J7" s="53"/>
      <c r="K7" s="54"/>
      <c r="L7" s="53">
        <v>0.78564</v>
      </c>
      <c r="M7" s="53">
        <v>0.65704</v>
      </c>
      <c r="N7" s="54"/>
      <c r="O7" s="15">
        <f t="shared" si="1"/>
        <v>0.683524</v>
      </c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>
      <c r="A8" s="53"/>
      <c r="B8" s="53" t="s">
        <v>51</v>
      </c>
      <c r="C8" s="55">
        <v>5.639</v>
      </c>
      <c r="D8" s="55">
        <v>8.7398</v>
      </c>
      <c r="E8" s="54"/>
      <c r="F8" s="56">
        <v>0.44966</v>
      </c>
      <c r="G8" s="56">
        <v>0.76347</v>
      </c>
      <c r="H8" s="56">
        <v>0.78593</v>
      </c>
      <c r="I8" s="56"/>
      <c r="J8" s="56"/>
      <c r="K8" s="54"/>
      <c r="L8" s="56">
        <v>0.78672</v>
      </c>
      <c r="M8" s="56">
        <v>0.68953</v>
      </c>
      <c r="N8" s="54"/>
      <c r="O8" s="15">
        <f t="shared" si="1"/>
        <v>0.695062</v>
      </c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</row>
    <row r="9">
      <c r="A9" s="53"/>
      <c r="B9" s="57" t="s">
        <v>18</v>
      </c>
      <c r="C9" s="53">
        <f t="shared" ref="C9:D9" si="3">C7-C4+C6</f>
        <v>5.6821</v>
      </c>
      <c r="D9" s="53">
        <f t="shared" si="3"/>
        <v>8.8868</v>
      </c>
      <c r="E9" s="54"/>
      <c r="F9" s="53">
        <f t="shared" ref="F9:H9" si="4">F7-F4+F6</f>
        <v>0.4471</v>
      </c>
      <c r="G9" s="53">
        <f t="shared" si="4"/>
        <v>0.7601</v>
      </c>
      <c r="H9" s="53">
        <f t="shared" si="4"/>
        <v>0.77921</v>
      </c>
      <c r="I9" s="53"/>
      <c r="J9" s="53"/>
      <c r="K9" s="54"/>
      <c r="L9" s="53">
        <f t="shared" ref="L9:M9" si="5">L7-L4+L6</f>
        <v>0.8308</v>
      </c>
      <c r="M9" s="53">
        <f t="shared" si="5"/>
        <v>0.70929</v>
      </c>
      <c r="N9" s="54"/>
      <c r="O9" s="15">
        <f t="shared" si="1"/>
        <v>0.7053</v>
      </c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</row>
    <row r="10">
      <c r="A10" s="1"/>
      <c r="B10" s="1" t="s">
        <v>53</v>
      </c>
      <c r="C10" s="1">
        <f t="shared" ref="C10:D10" si="6">C5+C7-C4</f>
        <v>5.6507</v>
      </c>
      <c r="D10" s="1">
        <f t="shared" si="6"/>
        <v>8.7644</v>
      </c>
      <c r="F10" s="1">
        <f t="shared" ref="F10:H10" si="7">F7-F4+F5</f>
        <v>0.44965</v>
      </c>
      <c r="G10" s="1">
        <f t="shared" si="7"/>
        <v>0.76093</v>
      </c>
      <c r="H10" s="1">
        <f t="shared" si="7"/>
        <v>0.76909</v>
      </c>
      <c r="I10" s="1"/>
      <c r="J10" s="1"/>
      <c r="L10" s="1">
        <f t="shared" ref="L10:M10" si="8">L7-L4+L5</f>
        <v>0.83084</v>
      </c>
      <c r="M10" s="1">
        <f t="shared" si="8"/>
        <v>0.72204</v>
      </c>
      <c r="O10" s="15">
        <f t="shared" si="1"/>
        <v>0.70651</v>
      </c>
    </row>
    <row r="11">
      <c r="A11" s="10"/>
      <c r="B11" s="10"/>
      <c r="C11" s="15"/>
      <c r="D11" s="15"/>
      <c r="E11" s="14"/>
      <c r="F11" s="17">
        <f t="shared" ref="F11:H11" si="9">F45-F41</f>
        <v>0.0273</v>
      </c>
      <c r="G11" s="17">
        <f t="shared" si="9"/>
        <v>0.096</v>
      </c>
      <c r="H11" s="17">
        <f t="shared" si="9"/>
        <v>-0.0024</v>
      </c>
      <c r="I11" s="52"/>
      <c r="J11" s="52"/>
      <c r="K11" s="52"/>
      <c r="L11" s="17">
        <f t="shared" ref="L11:M11" si="10">L45-L41</f>
        <v>0.0128</v>
      </c>
      <c r="M11" s="17">
        <f t="shared" si="10"/>
        <v>0.0356</v>
      </c>
      <c r="N11" s="52"/>
      <c r="O11" s="15"/>
    </row>
    <row r="12">
      <c r="C12" s="1" t="s">
        <v>2</v>
      </c>
      <c r="D12" s="1" t="s">
        <v>3</v>
      </c>
      <c r="F12" s="1" t="s">
        <v>4</v>
      </c>
      <c r="G12" s="1" t="s">
        <v>5</v>
      </c>
      <c r="H12" s="1" t="s">
        <v>6</v>
      </c>
      <c r="I12" s="3"/>
      <c r="J12" s="3"/>
      <c r="K12" s="3"/>
      <c r="L12" s="1" t="s">
        <v>10</v>
      </c>
      <c r="M12" s="1" t="s">
        <v>11</v>
      </c>
      <c r="N12" s="3"/>
      <c r="O12" s="1" t="s">
        <v>13</v>
      </c>
    </row>
    <row r="13">
      <c r="A13" s="53"/>
      <c r="B13" s="53" t="s">
        <v>35</v>
      </c>
      <c r="C13" s="58">
        <v>5.6796</v>
      </c>
      <c r="D13" s="58">
        <v>8.8829</v>
      </c>
      <c r="E13" s="59"/>
      <c r="F13" s="58">
        <f t="shared" ref="F13:H13" si="11">F7-F11</f>
        <v>0.41724</v>
      </c>
      <c r="G13" s="58">
        <f t="shared" si="11"/>
        <v>0.66284</v>
      </c>
      <c r="H13" s="58">
        <f t="shared" si="11"/>
        <v>0.77396</v>
      </c>
      <c r="I13" s="58"/>
      <c r="J13" s="58"/>
      <c r="K13" s="58"/>
      <c r="L13" s="58">
        <f t="shared" ref="L13:M13" si="12">L7-L11</f>
        <v>0.77284</v>
      </c>
      <c r="M13" s="58">
        <f t="shared" si="12"/>
        <v>0.62144</v>
      </c>
      <c r="N13" s="58"/>
      <c r="O13" s="58">
        <f t="shared" ref="O13:O15" si="15">AVERAGE(F13,G13,H13,L13,M13)</f>
        <v>0.649664</v>
      </c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</row>
    <row r="14">
      <c r="A14" s="53" t="s">
        <v>24</v>
      </c>
      <c r="B14" s="53" t="s">
        <v>51</v>
      </c>
      <c r="C14" s="60">
        <v>5.639</v>
      </c>
      <c r="D14" s="60">
        <v>8.7398</v>
      </c>
      <c r="E14" s="59"/>
      <c r="F14" s="61">
        <f t="shared" ref="F14:G14" si="13">F13-F4+F5</f>
        <v>0.42235</v>
      </c>
      <c r="G14" s="61">
        <f t="shared" si="13"/>
        <v>0.66493</v>
      </c>
      <c r="H14" s="61">
        <f>H13-H7+H8</f>
        <v>0.78833</v>
      </c>
      <c r="I14" s="58"/>
      <c r="J14" s="58"/>
      <c r="K14" s="58"/>
      <c r="L14" s="61">
        <f t="shared" ref="L14:M14" si="14">L13-L4+L5</f>
        <v>0.81804</v>
      </c>
      <c r="M14" s="61">
        <f t="shared" si="14"/>
        <v>0.68644</v>
      </c>
      <c r="N14" s="58"/>
      <c r="O14" s="61">
        <f t="shared" si="15"/>
        <v>0.676018</v>
      </c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>
      <c r="A15" s="53"/>
      <c r="B15" s="57" t="s">
        <v>18</v>
      </c>
      <c r="C15" s="58">
        <v>5.6821</v>
      </c>
      <c r="D15" s="58">
        <v>8.8868</v>
      </c>
      <c r="E15" s="59"/>
      <c r="F15" s="58">
        <f t="shared" ref="F15:H15" si="16">F13-F4+F6</f>
        <v>0.4198</v>
      </c>
      <c r="G15" s="58">
        <f t="shared" si="16"/>
        <v>0.6641</v>
      </c>
      <c r="H15" s="58">
        <f t="shared" si="16"/>
        <v>0.78161</v>
      </c>
      <c r="I15" s="58"/>
      <c r="J15" s="58"/>
      <c r="K15" s="58"/>
      <c r="L15" s="58">
        <f t="shared" ref="L15:M15" si="17">L13-L4+L6</f>
        <v>0.818</v>
      </c>
      <c r="M15" s="58">
        <f t="shared" si="17"/>
        <v>0.67369</v>
      </c>
      <c r="N15" s="58"/>
      <c r="O15" s="58">
        <f t="shared" si="15"/>
        <v>0.67144</v>
      </c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>
      <c r="A16" s="10"/>
      <c r="B16" s="10"/>
      <c r="C16" s="15"/>
      <c r="D16" s="15"/>
      <c r="E16" s="14"/>
      <c r="F16" s="17"/>
      <c r="G16" s="17"/>
      <c r="H16" s="17"/>
      <c r="I16" s="52"/>
      <c r="J16" s="52"/>
      <c r="K16" s="52"/>
      <c r="L16" s="17"/>
      <c r="M16" s="17"/>
      <c r="N16" s="52"/>
      <c r="O16" s="15"/>
    </row>
    <row r="17">
      <c r="B17" s="10" t="s">
        <v>19</v>
      </c>
      <c r="C17" s="15">
        <v>5.572</v>
      </c>
      <c r="D17" s="15">
        <v>8.6483</v>
      </c>
      <c r="E17" s="14"/>
      <c r="F17" s="17">
        <v>0.4394</v>
      </c>
      <c r="G17" s="15">
        <v>0.7635</v>
      </c>
      <c r="H17" s="15">
        <v>0.7804</v>
      </c>
      <c r="I17" s="52">
        <v>0.5768</v>
      </c>
      <c r="J17" s="52">
        <v>0.6846</v>
      </c>
      <c r="K17" s="52">
        <v>0.29</v>
      </c>
      <c r="L17" s="15">
        <v>0.7867</v>
      </c>
      <c r="M17" s="15">
        <v>0.6029</v>
      </c>
      <c r="N17" s="52">
        <v>0.7064</v>
      </c>
      <c r="O17" s="15">
        <f t="shared" ref="O17:O19" si="18">AVERAGE(F17,G17,H17,L17,M17)</f>
        <v>0.67458</v>
      </c>
    </row>
    <row r="18">
      <c r="B18" s="9" t="s">
        <v>54</v>
      </c>
      <c r="C18" s="17">
        <v>5.5237</v>
      </c>
      <c r="D18" s="17">
        <v>8.5521</v>
      </c>
      <c r="E18" s="14"/>
      <c r="F18" s="15">
        <v>0.4386</v>
      </c>
      <c r="G18" s="17">
        <v>0.7656</v>
      </c>
      <c r="H18" s="17">
        <v>0.7936</v>
      </c>
      <c r="I18" s="52">
        <v>0.5814</v>
      </c>
      <c r="J18" s="62">
        <v>0.6922</v>
      </c>
      <c r="K18" s="52">
        <v>0.292</v>
      </c>
      <c r="L18" s="17">
        <v>0.7873</v>
      </c>
      <c r="M18" s="17">
        <v>0.6173</v>
      </c>
      <c r="N18" s="52">
        <v>0.7032</v>
      </c>
      <c r="O18" s="17">
        <f t="shared" si="18"/>
        <v>0.68048</v>
      </c>
    </row>
    <row r="19">
      <c r="B19" s="9" t="s">
        <v>18</v>
      </c>
      <c r="C19" s="13">
        <v>5.566</v>
      </c>
      <c r="D19" s="13">
        <v>8.633</v>
      </c>
      <c r="E19" s="14"/>
      <c r="F19" s="13">
        <v>0.437</v>
      </c>
      <c r="G19" s="13">
        <v>0.76</v>
      </c>
      <c r="H19" s="13">
        <v>0.785</v>
      </c>
      <c r="I19" s="63"/>
      <c r="J19" s="63"/>
      <c r="K19" s="63"/>
      <c r="L19" s="13">
        <v>0.787</v>
      </c>
      <c r="M19" s="13">
        <v>0.606</v>
      </c>
      <c r="N19" s="63"/>
      <c r="O19" s="15">
        <f t="shared" si="18"/>
        <v>0.675</v>
      </c>
    </row>
    <row r="20">
      <c r="A20" s="40"/>
      <c r="B20" s="37"/>
      <c r="C20" s="37"/>
      <c r="D20" s="37"/>
      <c r="E20" s="40"/>
      <c r="F20" s="37"/>
      <c r="G20" s="37"/>
      <c r="H20" s="37"/>
      <c r="I20" s="64"/>
      <c r="J20" s="64"/>
      <c r="K20" s="64"/>
      <c r="L20" s="37"/>
      <c r="M20" s="37"/>
      <c r="N20" s="64"/>
      <c r="O20" s="36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</row>
    <row r="21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</row>
    <row r="22">
      <c r="B22" s="10" t="s">
        <v>22</v>
      </c>
      <c r="C22" s="13">
        <v>5.424</v>
      </c>
      <c r="D22" s="13">
        <v>8.308</v>
      </c>
      <c r="E22" s="14"/>
      <c r="F22" s="13">
        <v>0.449</v>
      </c>
      <c r="G22" s="13">
        <v>0.764</v>
      </c>
      <c r="H22" s="13">
        <v>0.785</v>
      </c>
      <c r="I22" s="14"/>
      <c r="J22" s="14"/>
      <c r="K22" s="14"/>
      <c r="L22" s="13">
        <v>0.781</v>
      </c>
      <c r="M22" s="13">
        <v>0.667</v>
      </c>
      <c r="N22" s="14"/>
      <c r="O22" s="15">
        <f t="shared" ref="O22:O24" si="19">AVERAGE(F22,G22,H22,L22,M22)</f>
        <v>0.6892</v>
      </c>
    </row>
    <row r="23">
      <c r="B23" s="9" t="s">
        <v>23</v>
      </c>
      <c r="C23" s="16">
        <v>5.382</v>
      </c>
      <c r="D23" s="16">
        <v>8.277</v>
      </c>
      <c r="E23" s="14"/>
      <c r="F23" s="16">
        <v>0.453</v>
      </c>
      <c r="G23" s="16">
        <v>0.774</v>
      </c>
      <c r="H23" s="16">
        <v>0.808</v>
      </c>
      <c r="I23" s="14"/>
      <c r="J23" s="14"/>
      <c r="K23" s="14"/>
      <c r="L23" s="16">
        <v>0.79</v>
      </c>
      <c r="M23" s="16">
        <v>0.671</v>
      </c>
      <c r="N23" s="14"/>
      <c r="O23" s="17">
        <f t="shared" si="19"/>
        <v>0.6992</v>
      </c>
    </row>
    <row r="24">
      <c r="B24" s="9" t="s">
        <v>18</v>
      </c>
      <c r="C24" s="13">
        <v>5.418</v>
      </c>
      <c r="D24" s="13">
        <v>8.302</v>
      </c>
      <c r="E24" s="14"/>
      <c r="F24" s="13">
        <v>0.449</v>
      </c>
      <c r="G24" s="13">
        <v>0.764</v>
      </c>
      <c r="H24" s="13">
        <v>0.781</v>
      </c>
      <c r="I24" s="14"/>
      <c r="J24" s="14"/>
      <c r="K24" s="14"/>
      <c r="L24" s="13">
        <v>0.783</v>
      </c>
      <c r="M24" s="13">
        <v>0.664</v>
      </c>
      <c r="N24" s="14"/>
      <c r="O24" s="15">
        <f t="shared" si="19"/>
        <v>0.6882</v>
      </c>
    </row>
    <row r="25"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</row>
    <row r="26"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</row>
    <row r="27"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>
      <c r="B29" s="1" t="s">
        <v>25</v>
      </c>
      <c r="C29" s="15">
        <v>5.6222</v>
      </c>
      <c r="D29" s="15">
        <v>8.5657</v>
      </c>
      <c r="E29" s="14"/>
      <c r="F29" s="15">
        <v>0.4215</v>
      </c>
      <c r="G29" s="15">
        <v>0.7588</v>
      </c>
      <c r="H29" s="15">
        <v>0.7902</v>
      </c>
      <c r="I29" s="52">
        <v>0.5741</v>
      </c>
      <c r="J29" s="52">
        <v>0.7423</v>
      </c>
      <c r="K29" s="52">
        <v>0.308</v>
      </c>
      <c r="L29" s="15">
        <v>0.7894</v>
      </c>
      <c r="M29" s="15">
        <v>0.5812</v>
      </c>
      <c r="N29" s="52">
        <v>0.6969</v>
      </c>
      <c r="O29" s="15">
        <f t="shared" ref="O29:O31" si="20">AVERAGE(F29,G29,H29,L29,M29)</f>
        <v>0.66822</v>
      </c>
    </row>
    <row r="30">
      <c r="B30" s="9" t="s">
        <v>26</v>
      </c>
      <c r="C30" s="17">
        <v>5.5874</v>
      </c>
      <c r="D30" s="17">
        <v>8.5239</v>
      </c>
      <c r="E30" s="14"/>
      <c r="F30" s="17">
        <v>0.4334</v>
      </c>
      <c r="G30" s="17">
        <v>0.7593</v>
      </c>
      <c r="H30" s="15">
        <v>0.7884</v>
      </c>
      <c r="I30" s="52">
        <v>0.5758</v>
      </c>
      <c r="J30" s="52">
        <v>0.7372</v>
      </c>
      <c r="K30" s="52">
        <v>0.314</v>
      </c>
      <c r="L30" s="17">
        <v>0.7911</v>
      </c>
      <c r="M30" s="17">
        <v>0.6065</v>
      </c>
      <c r="N30" s="52">
        <v>0.6843</v>
      </c>
      <c r="O30" s="17">
        <f t="shared" si="20"/>
        <v>0.67574</v>
      </c>
    </row>
    <row r="31">
      <c r="B31" s="9" t="s">
        <v>18</v>
      </c>
      <c r="C31" s="13">
        <v>5.901</v>
      </c>
      <c r="D31" s="13">
        <v>8.991</v>
      </c>
      <c r="E31" s="14"/>
      <c r="F31" s="13">
        <v>0.417</v>
      </c>
      <c r="G31" s="13">
        <v>0.75</v>
      </c>
      <c r="H31" s="16">
        <v>0.791</v>
      </c>
      <c r="I31" s="65"/>
      <c r="J31" s="65"/>
      <c r="K31" s="65"/>
      <c r="L31" s="13">
        <v>0.785</v>
      </c>
      <c r="M31" s="13">
        <v>0.598</v>
      </c>
      <c r="N31" s="65"/>
      <c r="O31" s="15">
        <f t="shared" si="20"/>
        <v>0.6682</v>
      </c>
    </row>
    <row r="32">
      <c r="C32" s="14"/>
      <c r="D32" s="14"/>
      <c r="E32" s="14"/>
      <c r="F32" s="14"/>
      <c r="G32" s="14"/>
      <c r="H32" s="14"/>
      <c r="I32" s="65"/>
      <c r="J32" s="65"/>
      <c r="K32" s="65"/>
      <c r="L32" s="14"/>
      <c r="M32" s="14"/>
      <c r="N32" s="65"/>
      <c r="O32" s="15"/>
    </row>
    <row r="33">
      <c r="C33" s="14"/>
      <c r="D33" s="14"/>
      <c r="E33" s="14"/>
      <c r="F33" s="14"/>
      <c r="G33" s="14"/>
      <c r="H33" s="14"/>
      <c r="I33" s="65"/>
      <c r="J33" s="65"/>
      <c r="K33" s="65"/>
      <c r="L33" s="14"/>
      <c r="M33" s="14"/>
      <c r="N33" s="65"/>
      <c r="O33" s="15"/>
    </row>
    <row r="34">
      <c r="C34" s="14"/>
      <c r="D34" s="14"/>
      <c r="E34" s="14"/>
      <c r="F34" s="14"/>
      <c r="G34" s="14"/>
      <c r="H34" s="14"/>
      <c r="I34" s="65"/>
      <c r="J34" s="65"/>
      <c r="K34" s="65"/>
      <c r="L34" s="14"/>
      <c r="M34" s="14"/>
      <c r="N34" s="65"/>
      <c r="O34" s="15"/>
    </row>
    <row r="35">
      <c r="C35" s="14"/>
      <c r="D35" s="14"/>
      <c r="E35" s="14"/>
      <c r="F35" s="14"/>
      <c r="G35" s="14"/>
      <c r="H35" s="14"/>
      <c r="I35" s="65"/>
      <c r="J35" s="65"/>
      <c r="K35" s="65"/>
      <c r="L35" s="14"/>
      <c r="M35" s="14"/>
      <c r="N35" s="65"/>
      <c r="O35" s="15"/>
    </row>
    <row r="36">
      <c r="C36" s="14"/>
      <c r="D36" s="14"/>
      <c r="E36" s="14"/>
      <c r="F36" s="14"/>
      <c r="G36" s="14"/>
      <c r="H36" s="14"/>
      <c r="I36" s="65"/>
      <c r="J36" s="65"/>
      <c r="K36" s="65"/>
      <c r="L36" s="14"/>
      <c r="M36" s="14"/>
      <c r="N36" s="65"/>
      <c r="O36" s="15"/>
    </row>
    <row r="37">
      <c r="C37" s="14"/>
      <c r="D37" s="14"/>
      <c r="E37" s="14"/>
      <c r="F37" s="14"/>
      <c r="G37" s="14"/>
      <c r="H37" s="14"/>
      <c r="I37" s="65"/>
      <c r="J37" s="65"/>
      <c r="K37" s="65"/>
      <c r="L37" s="14"/>
      <c r="M37" s="14"/>
      <c r="N37" s="65"/>
      <c r="O37" s="15"/>
    </row>
    <row r="38">
      <c r="C38" s="14"/>
      <c r="D38" s="14"/>
      <c r="E38" s="14"/>
      <c r="F38" s="14"/>
      <c r="G38" s="14"/>
      <c r="H38" s="14"/>
      <c r="I38" s="65"/>
      <c r="J38" s="65"/>
      <c r="K38" s="65"/>
      <c r="L38" s="14"/>
      <c r="M38" s="14"/>
      <c r="N38" s="65"/>
      <c r="O38" s="15"/>
    </row>
    <row r="39">
      <c r="C39" s="14"/>
      <c r="D39" s="14"/>
      <c r="E39" s="14"/>
      <c r="F39" s="14"/>
      <c r="G39" s="14"/>
      <c r="H39" s="14"/>
      <c r="I39" s="65"/>
      <c r="J39" s="65"/>
      <c r="K39" s="65"/>
      <c r="L39" s="14"/>
      <c r="M39" s="14"/>
      <c r="N39" s="65"/>
      <c r="O39" s="15"/>
    </row>
    <row r="40">
      <c r="B40" s="1" t="s">
        <v>14</v>
      </c>
      <c r="C40" s="15">
        <v>5.5221</v>
      </c>
      <c r="D40" s="15">
        <v>8.409</v>
      </c>
      <c r="E40" s="14"/>
      <c r="F40" s="15">
        <v>0.5128</v>
      </c>
      <c r="G40" s="15">
        <v>0.8157</v>
      </c>
      <c r="H40" s="15">
        <v>0.8205</v>
      </c>
      <c r="I40" s="52">
        <v>0.6002</v>
      </c>
      <c r="J40" s="52">
        <v>0.7578</v>
      </c>
      <c r="K40" s="52">
        <v>0.334</v>
      </c>
      <c r="L40" s="15">
        <v>0.8014</v>
      </c>
      <c r="M40" s="15">
        <v>0.6931</v>
      </c>
      <c r="N40" s="52">
        <v>0.7372</v>
      </c>
      <c r="O40" s="15">
        <f t="shared" ref="O40:O41" si="21">AVERAGE(F40,G40,H40,L40,M40)</f>
        <v>0.7287</v>
      </c>
    </row>
    <row r="41">
      <c r="A41" s="10" t="s">
        <v>27</v>
      </c>
      <c r="B41" s="1" t="s">
        <v>55</v>
      </c>
      <c r="C41" s="5">
        <v>10.9466</v>
      </c>
      <c r="D41" s="1">
        <v>18.0442</v>
      </c>
      <c r="E41" s="1">
        <f>AVERAGE(C41:D41)</f>
        <v>14.4954</v>
      </c>
      <c r="F41" s="1">
        <v>0.3857</v>
      </c>
      <c r="G41" s="1">
        <v>0.649</v>
      </c>
      <c r="H41" s="8">
        <v>0.7174</v>
      </c>
      <c r="I41" s="1">
        <v>0.5148</v>
      </c>
      <c r="J41" s="8">
        <v>0.665</v>
      </c>
      <c r="K41" s="1">
        <v>0.298</v>
      </c>
      <c r="L41" s="1">
        <v>0.7432</v>
      </c>
      <c r="M41" s="1">
        <v>0.5884</v>
      </c>
      <c r="N41" s="3">
        <v>0.6796</v>
      </c>
      <c r="O41" s="4">
        <f t="shared" si="21"/>
        <v>0.61674</v>
      </c>
    </row>
    <row r="42">
      <c r="B42" s="1" t="s">
        <v>56</v>
      </c>
      <c r="C42" s="6">
        <v>8.7308</v>
      </c>
      <c r="D42" s="6">
        <v>14.168</v>
      </c>
      <c r="E42" s="7"/>
      <c r="F42" s="8">
        <v>0.409556</v>
      </c>
      <c r="G42" s="8">
        <v>0.728535</v>
      </c>
      <c r="H42" s="1">
        <v>0.693884</v>
      </c>
      <c r="L42" s="8">
        <v>0.756257</v>
      </c>
      <c r="M42" s="8">
        <v>0.610108</v>
      </c>
      <c r="O42" s="8">
        <v>0.639668</v>
      </c>
      <c r="P42" s="1"/>
      <c r="Q42" s="1"/>
    </row>
    <row r="43">
      <c r="B43" s="9" t="s">
        <v>18</v>
      </c>
      <c r="C43" s="1">
        <v>10.1321</v>
      </c>
      <c r="D43" s="1">
        <v>16.9936</v>
      </c>
      <c r="F43" s="1">
        <v>0.359215</v>
      </c>
      <c r="G43" s="1">
        <v>0.675084</v>
      </c>
      <c r="H43" s="1">
        <v>0.646789</v>
      </c>
      <c r="L43" s="1">
        <v>0.73395</v>
      </c>
      <c r="M43" s="1">
        <v>0.566787</v>
      </c>
      <c r="O43" s="4">
        <f>AVERAGE(F43,G43,H43,L43,M43)</f>
        <v>0.596365</v>
      </c>
    </row>
    <row r="44">
      <c r="A44" s="10"/>
      <c r="B44" s="10"/>
      <c r="C44" s="15"/>
      <c r="D44" s="15"/>
      <c r="E44" s="14"/>
      <c r="F44" s="15"/>
      <c r="G44" s="15"/>
      <c r="H44" s="15"/>
      <c r="I44" s="52"/>
      <c r="J44" s="52"/>
      <c r="K44" s="52"/>
      <c r="L44" s="15"/>
      <c r="M44" s="15"/>
      <c r="N44" s="52"/>
      <c r="O44" s="15"/>
    </row>
    <row r="45">
      <c r="B45" s="10" t="s">
        <v>19</v>
      </c>
      <c r="C45" s="15">
        <v>8.0936</v>
      </c>
      <c r="D45" s="15">
        <v>13.1569</v>
      </c>
      <c r="E45" s="14"/>
      <c r="F45" s="15">
        <v>0.413</v>
      </c>
      <c r="G45" s="15">
        <v>0.745</v>
      </c>
      <c r="H45" s="15">
        <v>0.715</v>
      </c>
      <c r="I45" s="52">
        <v>0.5364</v>
      </c>
      <c r="J45" s="52">
        <v>0.6697</v>
      </c>
      <c r="K45" s="52">
        <v>0.304</v>
      </c>
      <c r="L45" s="15">
        <v>0.756</v>
      </c>
      <c r="M45" s="15">
        <v>0.624</v>
      </c>
      <c r="N45" s="52">
        <v>0.6819</v>
      </c>
      <c r="O45" s="15">
        <f t="shared" ref="O45:O47" si="22">AVERAGE(F45,G45,H45,L45,M45)</f>
        <v>0.6506</v>
      </c>
    </row>
    <row r="46">
      <c r="A46" s="34"/>
      <c r="B46" s="35" t="s">
        <v>29</v>
      </c>
      <c r="C46" s="17">
        <v>7.8933</v>
      </c>
      <c r="D46" s="17">
        <v>12.8506</v>
      </c>
      <c r="E46" s="14"/>
      <c r="F46" s="15">
        <v>0.407</v>
      </c>
      <c r="G46" s="17">
        <v>0.749</v>
      </c>
      <c r="H46" s="17">
        <v>0.724</v>
      </c>
      <c r="I46" s="52">
        <v>0.5411</v>
      </c>
      <c r="J46" s="52">
        <v>0.6532</v>
      </c>
      <c r="K46" s="52">
        <v>0.3</v>
      </c>
      <c r="L46" s="17">
        <v>0.764</v>
      </c>
      <c r="M46" s="17">
        <v>0.638</v>
      </c>
      <c r="N46" s="52">
        <v>0.689</v>
      </c>
      <c r="O46" s="17">
        <f t="shared" si="22"/>
        <v>0.6564</v>
      </c>
    </row>
    <row r="47">
      <c r="B47" s="9" t="s">
        <v>18</v>
      </c>
      <c r="C47" s="15">
        <v>8.053</v>
      </c>
      <c r="D47" s="15">
        <v>13.1429</v>
      </c>
      <c r="E47" s="14"/>
      <c r="F47" s="15">
        <v>0.4104</v>
      </c>
      <c r="G47" s="15">
        <v>0.7361</v>
      </c>
      <c r="H47" s="15">
        <v>0.719</v>
      </c>
      <c r="I47" s="63"/>
      <c r="J47" s="63"/>
      <c r="K47" s="63"/>
      <c r="L47" s="15">
        <v>0.7595</v>
      </c>
      <c r="M47" s="15">
        <v>0.6318</v>
      </c>
      <c r="N47" s="63"/>
      <c r="O47" s="15">
        <f t="shared" si="22"/>
        <v>0.65136</v>
      </c>
    </row>
    <row r="48">
      <c r="C48" s="14"/>
      <c r="D48" s="14"/>
      <c r="E48" s="14"/>
      <c r="F48" s="14"/>
      <c r="G48" s="14"/>
      <c r="H48" s="14"/>
      <c r="I48" s="65"/>
      <c r="J48" s="65"/>
      <c r="K48" s="65"/>
      <c r="L48" s="14"/>
      <c r="M48" s="14"/>
      <c r="N48" s="65"/>
      <c r="O48" s="17"/>
    </row>
    <row r="49">
      <c r="B49" s="10" t="s">
        <v>22</v>
      </c>
      <c r="C49" s="13">
        <v>7.22</v>
      </c>
      <c r="D49" s="13">
        <v>11.566</v>
      </c>
      <c r="E49" s="14"/>
      <c r="F49" s="13">
        <v>0.413</v>
      </c>
      <c r="G49" s="13">
        <v>0.739</v>
      </c>
      <c r="H49" s="16">
        <v>0.767</v>
      </c>
      <c r="I49" s="65"/>
      <c r="J49" s="65"/>
      <c r="K49" s="65"/>
      <c r="L49" s="13">
        <v>0.76</v>
      </c>
      <c r="M49" s="13">
        <v>0.703</v>
      </c>
      <c r="N49" s="65"/>
      <c r="O49" s="15">
        <f t="shared" ref="O49:O51" si="23">AVERAGE(F49,G49,H49,L49,M49)</f>
        <v>0.6764</v>
      </c>
    </row>
    <row r="50">
      <c r="B50" s="9" t="s">
        <v>23</v>
      </c>
      <c r="C50" s="16">
        <v>7.217</v>
      </c>
      <c r="D50" s="16">
        <v>11.563</v>
      </c>
      <c r="E50" s="14"/>
      <c r="F50" s="16">
        <v>0.415</v>
      </c>
      <c r="G50" s="16">
        <v>0.741</v>
      </c>
      <c r="H50" s="16">
        <v>0.767</v>
      </c>
      <c r="I50" s="65"/>
      <c r="J50" s="65"/>
      <c r="K50" s="65"/>
      <c r="L50" s="16">
        <v>0.762</v>
      </c>
      <c r="M50" s="16">
        <v>0.705</v>
      </c>
      <c r="N50" s="65"/>
      <c r="O50" s="17">
        <f t="shared" si="23"/>
        <v>0.678</v>
      </c>
    </row>
    <row r="51">
      <c r="B51" s="9" t="s">
        <v>18</v>
      </c>
      <c r="C51" s="13">
        <v>7.221</v>
      </c>
      <c r="D51" s="13">
        <v>11.567</v>
      </c>
      <c r="E51" s="14"/>
      <c r="F51" s="13">
        <v>0.412</v>
      </c>
      <c r="G51" s="13">
        <v>0.737</v>
      </c>
      <c r="H51" s="13">
        <v>0.766</v>
      </c>
      <c r="I51" s="65"/>
      <c r="J51" s="65"/>
      <c r="K51" s="65"/>
      <c r="L51" s="13">
        <v>0.761</v>
      </c>
      <c r="M51" s="13">
        <v>0.703</v>
      </c>
      <c r="N51" s="65"/>
      <c r="O51" s="15">
        <f t="shared" si="23"/>
        <v>0.6758</v>
      </c>
    </row>
    <row r="52">
      <c r="C52" s="14"/>
      <c r="D52" s="14"/>
      <c r="E52" s="14"/>
      <c r="F52" s="14"/>
      <c r="G52" s="14"/>
      <c r="H52" s="14"/>
      <c r="I52" s="65"/>
      <c r="J52" s="65"/>
      <c r="K52" s="65"/>
      <c r="L52" s="14"/>
      <c r="M52" s="14"/>
      <c r="N52" s="65"/>
      <c r="O52" s="15"/>
    </row>
    <row r="53">
      <c r="C53" s="14"/>
      <c r="D53" s="14"/>
      <c r="E53" s="14"/>
      <c r="F53" s="14"/>
      <c r="G53" s="14"/>
      <c r="H53" s="14"/>
      <c r="I53" s="65"/>
      <c r="J53" s="65"/>
      <c r="K53" s="65"/>
      <c r="L53" s="14"/>
      <c r="M53" s="14"/>
      <c r="N53" s="65"/>
      <c r="O53" s="15"/>
    </row>
    <row r="54">
      <c r="B54" s="1" t="s">
        <v>25</v>
      </c>
      <c r="C54" s="15">
        <v>7.4431</v>
      </c>
      <c r="D54" s="15">
        <v>11.9236</v>
      </c>
      <c r="E54" s="14"/>
      <c r="F54" s="17">
        <v>0.4215</v>
      </c>
      <c r="G54" s="15">
        <v>0.7563</v>
      </c>
      <c r="H54" s="15">
        <v>0.7352</v>
      </c>
      <c r="I54" s="52">
        <v>0.5402</v>
      </c>
      <c r="J54" s="52">
        <v>0.6767</v>
      </c>
      <c r="K54" s="52">
        <v>0.294</v>
      </c>
      <c r="L54" s="17">
        <v>0.7682</v>
      </c>
      <c r="M54" s="15">
        <v>0.6282</v>
      </c>
      <c r="N54" s="52">
        <v>0.6796</v>
      </c>
      <c r="O54" s="15">
        <f t="shared" ref="O54:O56" si="24">AVERAGE(F54,G54,H54,L54,M54)</f>
        <v>0.66188</v>
      </c>
    </row>
    <row r="55">
      <c r="B55" s="9" t="s">
        <v>26</v>
      </c>
      <c r="C55" s="17">
        <v>7.381</v>
      </c>
      <c r="D55" s="17">
        <v>11.8812</v>
      </c>
      <c r="E55" s="14"/>
      <c r="F55" s="15">
        <v>0.4147</v>
      </c>
      <c r="G55" s="17">
        <v>0.7605</v>
      </c>
      <c r="H55" s="17">
        <v>0.7495</v>
      </c>
      <c r="I55" s="52">
        <v>0.543</v>
      </c>
      <c r="J55" s="52">
        <v>0.6881</v>
      </c>
      <c r="K55" s="52">
        <v>0.266</v>
      </c>
      <c r="L55" s="17">
        <v>0.7682</v>
      </c>
      <c r="M55" s="17">
        <v>0.6606</v>
      </c>
      <c r="N55" s="52">
        <v>0.6898</v>
      </c>
      <c r="O55" s="17">
        <f t="shared" si="24"/>
        <v>0.6707</v>
      </c>
    </row>
    <row r="56">
      <c r="B56" s="9" t="s">
        <v>18</v>
      </c>
      <c r="C56" s="13">
        <v>7.448</v>
      </c>
      <c r="D56" s="13">
        <v>12.095</v>
      </c>
      <c r="E56" s="14"/>
      <c r="F56" s="13">
        <v>0.42</v>
      </c>
      <c r="G56" s="13">
        <v>0.753</v>
      </c>
      <c r="H56" s="13">
        <v>0.746</v>
      </c>
      <c r="I56" s="63"/>
      <c r="J56" s="63"/>
      <c r="K56" s="63"/>
      <c r="L56" s="13">
        <v>0.766</v>
      </c>
      <c r="M56" s="13">
        <v>0.638</v>
      </c>
      <c r="N56" s="63"/>
      <c r="O56" s="15">
        <f t="shared" si="24"/>
        <v>0.6646</v>
      </c>
    </row>
    <row r="57">
      <c r="C57" s="14"/>
      <c r="D57" s="14"/>
      <c r="E57" s="14"/>
      <c r="F57" s="14"/>
      <c r="G57" s="14"/>
      <c r="H57" s="14"/>
      <c r="I57" s="65"/>
      <c r="J57" s="65"/>
      <c r="K57" s="65"/>
      <c r="L57" s="14"/>
      <c r="M57" s="14"/>
      <c r="N57" s="65"/>
      <c r="O57" s="15"/>
    </row>
    <row r="58">
      <c r="C58" s="14"/>
      <c r="D58" s="14"/>
      <c r="E58" s="14"/>
      <c r="F58" s="14"/>
      <c r="G58" s="14"/>
      <c r="H58" s="14"/>
      <c r="I58" s="65"/>
      <c r="J58" s="65"/>
      <c r="K58" s="65"/>
      <c r="L58" s="14"/>
      <c r="M58" s="14"/>
      <c r="N58" s="65"/>
      <c r="O58" s="15"/>
    </row>
    <row r="59">
      <c r="C59" s="14"/>
      <c r="D59" s="14"/>
      <c r="E59" s="14"/>
      <c r="F59" s="14"/>
      <c r="G59" s="14"/>
      <c r="H59" s="14"/>
      <c r="I59" s="65"/>
      <c r="J59" s="65"/>
      <c r="K59" s="65"/>
      <c r="L59" s="14"/>
      <c r="M59" s="14"/>
      <c r="N59" s="65"/>
      <c r="O59" s="15"/>
    </row>
    <row r="60">
      <c r="C60" s="14"/>
      <c r="D60" s="14"/>
      <c r="E60" s="14"/>
      <c r="F60" s="14"/>
      <c r="G60" s="14"/>
      <c r="H60" s="14"/>
      <c r="I60" s="65"/>
      <c r="J60" s="65"/>
      <c r="K60" s="65"/>
      <c r="L60" s="14"/>
      <c r="M60" s="14"/>
      <c r="N60" s="65"/>
      <c r="O60" s="15"/>
    </row>
    <row r="61">
      <c r="A61" s="1" t="s">
        <v>33</v>
      </c>
      <c r="B61" s="1" t="s">
        <v>14</v>
      </c>
      <c r="C61" s="15">
        <v>5.4425</v>
      </c>
      <c r="D61" s="15">
        <v>8.3463</v>
      </c>
      <c r="E61" s="14"/>
      <c r="F61" s="15">
        <v>0.5043</v>
      </c>
      <c r="G61" s="15">
        <v>0.8009</v>
      </c>
      <c r="H61" s="15">
        <v>0.8135</v>
      </c>
      <c r="I61" s="52">
        <v>0.6018</v>
      </c>
      <c r="J61" s="52">
        <v>0.7601</v>
      </c>
      <c r="K61" s="52">
        <v>0.348</v>
      </c>
      <c r="L61" s="15">
        <v>0.7971</v>
      </c>
      <c r="M61" s="15">
        <v>0.6968</v>
      </c>
      <c r="N61" s="52">
        <v>0.7253</v>
      </c>
      <c r="O61" s="15">
        <f t="shared" ref="O61:O64" si="25">AVERAGE(F61,G61,H61,L61,M61)</f>
        <v>0.72252</v>
      </c>
    </row>
    <row r="62">
      <c r="B62" s="1" t="s">
        <v>16</v>
      </c>
      <c r="C62" s="5">
        <v>10.7928</v>
      </c>
      <c r="D62" s="5">
        <v>17.6383</v>
      </c>
      <c r="E62" s="4">
        <f t="shared" ref="E62:E64" si="26">AVERAGE(C62:D62)</f>
        <v>14.21555</v>
      </c>
      <c r="F62" s="1">
        <v>0.39761</v>
      </c>
      <c r="G62" s="1">
        <v>0.70118</v>
      </c>
      <c r="H62" s="1">
        <v>0.74709</v>
      </c>
      <c r="L62" s="1">
        <v>0.74592</v>
      </c>
      <c r="M62" s="1">
        <v>0.77256</v>
      </c>
      <c r="O62" s="4">
        <f t="shared" si="25"/>
        <v>0.672872</v>
      </c>
    </row>
    <row r="63">
      <c r="B63" s="1" t="s">
        <v>57</v>
      </c>
      <c r="C63" s="6">
        <v>8.9705</v>
      </c>
      <c r="D63" s="6">
        <v>15.2369</v>
      </c>
      <c r="E63" s="7">
        <f t="shared" si="26"/>
        <v>12.1037</v>
      </c>
      <c r="F63" s="8">
        <v>0.41724</v>
      </c>
      <c r="G63" s="8">
        <v>0.72643</v>
      </c>
      <c r="H63" s="8">
        <v>0.76758</v>
      </c>
      <c r="L63" s="8">
        <v>0.76279</v>
      </c>
      <c r="M63" s="8">
        <v>0.77617</v>
      </c>
      <c r="O63" s="7">
        <f t="shared" si="25"/>
        <v>0.690042</v>
      </c>
    </row>
    <row r="64">
      <c r="B64" s="9" t="s">
        <v>18</v>
      </c>
      <c r="C64" s="1">
        <v>10.6686</v>
      </c>
      <c r="D64" s="1">
        <v>17.5866</v>
      </c>
      <c r="E64" s="4">
        <f t="shared" si="26"/>
        <v>14.1276</v>
      </c>
      <c r="F64" s="1">
        <v>0.3925</v>
      </c>
      <c r="G64" s="1">
        <v>0.7008</v>
      </c>
      <c r="H64" s="1">
        <v>0.7529</v>
      </c>
      <c r="L64" s="1">
        <v>0.7465</v>
      </c>
      <c r="M64" s="1">
        <v>0.7617</v>
      </c>
      <c r="O64" s="4">
        <f t="shared" si="25"/>
        <v>0.67088</v>
      </c>
    </row>
    <row r="65">
      <c r="C65" s="1" t="s">
        <v>2</v>
      </c>
      <c r="D65" s="1" t="s">
        <v>3</v>
      </c>
      <c r="F65" s="1" t="s">
        <v>4</v>
      </c>
      <c r="G65" s="1" t="s">
        <v>5</v>
      </c>
      <c r="H65" s="1" t="s">
        <v>6</v>
      </c>
      <c r="I65" s="3"/>
      <c r="J65" s="3"/>
      <c r="K65" s="3"/>
      <c r="L65" s="1" t="s">
        <v>10</v>
      </c>
      <c r="M65" s="1" t="s">
        <v>11</v>
      </c>
      <c r="N65" s="3"/>
      <c r="O65" s="1" t="s">
        <v>13</v>
      </c>
    </row>
    <row r="66">
      <c r="A66" s="18"/>
      <c r="B66" s="19" t="s">
        <v>16</v>
      </c>
      <c r="C66" s="29">
        <v>10.7928</v>
      </c>
      <c r="D66" s="29">
        <v>17.6383</v>
      </c>
      <c r="E66" s="18">
        <f t="shared" ref="E66:E68" si="27">AVERAGE(C66:D66)</f>
        <v>14.21555</v>
      </c>
      <c r="F66" s="19">
        <v>0.39761</v>
      </c>
      <c r="G66" s="19">
        <v>0.70118</v>
      </c>
      <c r="H66" s="19">
        <v>0.74709</v>
      </c>
      <c r="I66" s="18"/>
      <c r="J66" s="18"/>
      <c r="K66" s="18"/>
      <c r="L66" s="19">
        <v>0.74592</v>
      </c>
      <c r="M66" s="19">
        <v>0.66256</v>
      </c>
      <c r="N66" s="18"/>
      <c r="O66" s="18">
        <f t="shared" ref="O66:O68" si="28">AVERAGE(F66,G66,H66,L66,M66)</f>
        <v>0.650872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>
      <c r="A67" s="19" t="s">
        <v>24</v>
      </c>
      <c r="B67" s="19" t="s">
        <v>57</v>
      </c>
      <c r="C67" s="66">
        <v>8.9705</v>
      </c>
      <c r="D67" s="66">
        <v>15.2369</v>
      </c>
      <c r="E67" s="23">
        <f t="shared" si="27"/>
        <v>12.1037</v>
      </c>
      <c r="F67" s="32">
        <v>0.41724</v>
      </c>
      <c r="G67" s="32">
        <v>0.72643</v>
      </c>
      <c r="H67" s="32">
        <v>0.76758</v>
      </c>
      <c r="I67" s="18"/>
      <c r="J67" s="18"/>
      <c r="K67" s="18"/>
      <c r="L67" s="32">
        <v>0.76279</v>
      </c>
      <c r="M67" s="32">
        <v>0.66617</v>
      </c>
      <c r="N67" s="18"/>
      <c r="O67" s="23">
        <f t="shared" si="28"/>
        <v>0.668042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>
      <c r="A68" s="18"/>
      <c r="B68" s="22" t="s">
        <v>18</v>
      </c>
      <c r="C68" s="19">
        <v>10.6686</v>
      </c>
      <c r="D68" s="19">
        <v>17.5866</v>
      </c>
      <c r="E68" s="18">
        <f t="shared" si="27"/>
        <v>14.1276</v>
      </c>
      <c r="F68" s="19">
        <v>0.3925</v>
      </c>
      <c r="G68" s="19">
        <v>0.7008</v>
      </c>
      <c r="H68" s="19">
        <v>0.7529</v>
      </c>
      <c r="I68" s="18"/>
      <c r="J68" s="18"/>
      <c r="K68" s="18"/>
      <c r="L68" s="19">
        <v>0.7465</v>
      </c>
      <c r="M68" s="19">
        <v>0.6517</v>
      </c>
      <c r="N68" s="18"/>
      <c r="O68" s="18">
        <f t="shared" si="28"/>
        <v>0.64888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>
      <c r="B69" s="1"/>
      <c r="C69" s="15"/>
      <c r="D69" s="15"/>
      <c r="E69" s="14"/>
      <c r="F69" s="15"/>
      <c r="G69" s="17"/>
      <c r="H69" s="15"/>
      <c r="I69" s="52"/>
      <c r="J69" s="52"/>
      <c r="K69" s="52"/>
      <c r="L69" s="15"/>
      <c r="M69" s="15"/>
      <c r="N69" s="52"/>
      <c r="O69" s="15"/>
    </row>
    <row r="70">
      <c r="B70" s="1" t="s">
        <v>19</v>
      </c>
      <c r="C70" s="15">
        <v>8.5922</v>
      </c>
      <c r="D70" s="15">
        <v>15.0479</v>
      </c>
      <c r="E70" s="14"/>
      <c r="F70" s="15">
        <v>0.4386</v>
      </c>
      <c r="G70" s="17">
        <v>0.7311</v>
      </c>
      <c r="H70" s="15">
        <v>0.7841</v>
      </c>
      <c r="I70" s="52">
        <v>0.5456</v>
      </c>
      <c r="J70" s="52">
        <v>0.6383</v>
      </c>
      <c r="K70" s="52">
        <v>0.314</v>
      </c>
      <c r="L70" s="15">
        <v>0.7688</v>
      </c>
      <c r="M70" s="15">
        <v>0.678</v>
      </c>
      <c r="N70" s="52">
        <v>0.6669</v>
      </c>
      <c r="O70" s="15">
        <f t="shared" ref="O70:O72" si="29">AVERAGE(F70,G70,H70,L70,M70)</f>
        <v>0.68012</v>
      </c>
    </row>
    <row r="71">
      <c r="B71" s="9" t="s">
        <v>36</v>
      </c>
      <c r="C71" s="17">
        <v>8.2313</v>
      </c>
      <c r="D71" s="17">
        <v>14.2433</v>
      </c>
      <c r="E71" s="14"/>
      <c r="F71" s="17">
        <v>0.441</v>
      </c>
      <c r="G71" s="15">
        <v>0.729</v>
      </c>
      <c r="H71" s="17">
        <v>0.812</v>
      </c>
      <c r="I71" s="52">
        <v>0.5515</v>
      </c>
      <c r="J71" s="15">
        <v>0.6059</v>
      </c>
      <c r="K71" s="52">
        <v>0.314</v>
      </c>
      <c r="L71" s="17">
        <v>0.779</v>
      </c>
      <c r="M71" s="17">
        <v>0.69</v>
      </c>
      <c r="N71" s="52">
        <v>0.6693</v>
      </c>
      <c r="O71" s="17">
        <f t="shared" si="29"/>
        <v>0.6902</v>
      </c>
    </row>
    <row r="72">
      <c r="B72" s="67" t="s">
        <v>18</v>
      </c>
      <c r="C72" s="15">
        <v>8.6093</v>
      </c>
      <c r="D72" s="15">
        <v>15.0115</v>
      </c>
      <c r="E72" s="14"/>
      <c r="F72" s="15">
        <v>0.4343</v>
      </c>
      <c r="G72" s="15">
        <v>0.7277</v>
      </c>
      <c r="H72" s="15">
        <v>0.7633</v>
      </c>
      <c r="I72" s="14"/>
      <c r="J72" s="63"/>
      <c r="K72" s="63"/>
      <c r="L72" s="15">
        <v>0.7699</v>
      </c>
      <c r="M72" s="15">
        <v>0.6137</v>
      </c>
      <c r="N72" s="63"/>
      <c r="O72" s="15">
        <f t="shared" si="29"/>
        <v>0.66178</v>
      </c>
    </row>
    <row r="73"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5"/>
    </row>
    <row r="74">
      <c r="B74" s="10" t="s">
        <v>22</v>
      </c>
      <c r="C74" s="13">
        <v>12.138</v>
      </c>
      <c r="D74" s="13">
        <v>18.01</v>
      </c>
      <c r="E74" s="14"/>
      <c r="F74" s="13">
        <v>0.323</v>
      </c>
      <c r="G74" s="16">
        <v>0.624</v>
      </c>
      <c r="H74" s="13">
        <v>0.682</v>
      </c>
      <c r="I74" s="14"/>
      <c r="J74" s="14"/>
      <c r="K74" s="14"/>
      <c r="L74" s="13">
        <v>0.699</v>
      </c>
      <c r="M74" s="13">
        <v>0.62</v>
      </c>
      <c r="N74" s="14"/>
      <c r="O74" s="15">
        <f t="shared" ref="O74:O76" si="30">AVERAGE(F74,G74,H74,L74,M74)</f>
        <v>0.5896</v>
      </c>
    </row>
    <row r="75">
      <c r="B75" s="9" t="s">
        <v>23</v>
      </c>
      <c r="C75" s="16">
        <v>12.09</v>
      </c>
      <c r="D75" s="16">
        <v>17.994</v>
      </c>
      <c r="E75" s="14"/>
      <c r="F75" s="16">
        <v>0.328</v>
      </c>
      <c r="G75" s="13">
        <v>0.619</v>
      </c>
      <c r="H75" s="16">
        <v>0.684</v>
      </c>
      <c r="I75" s="14"/>
      <c r="J75" s="14"/>
      <c r="K75" s="14"/>
      <c r="L75" s="16">
        <v>0.706</v>
      </c>
      <c r="M75" s="16">
        <v>0.635</v>
      </c>
      <c r="N75" s="14"/>
      <c r="O75" s="17">
        <f t="shared" si="30"/>
        <v>0.5944</v>
      </c>
    </row>
    <row r="76">
      <c r="B76" s="9" t="s">
        <v>18</v>
      </c>
      <c r="C76" s="13">
        <v>12.147</v>
      </c>
      <c r="D76" s="13">
        <v>18.017</v>
      </c>
      <c r="E76" s="14"/>
      <c r="F76" s="13">
        <v>0.3182</v>
      </c>
      <c r="G76" s="16">
        <v>0.624</v>
      </c>
      <c r="H76" s="13">
        <v>0.682</v>
      </c>
      <c r="I76" s="14"/>
      <c r="J76" s="14"/>
      <c r="K76" s="14"/>
      <c r="L76" s="13">
        <v>0.698</v>
      </c>
      <c r="M76" s="13">
        <v>0.628</v>
      </c>
      <c r="N76" s="14"/>
      <c r="O76" s="15">
        <f t="shared" si="30"/>
        <v>0.59004</v>
      </c>
    </row>
    <row r="77">
      <c r="C77" s="1" t="s">
        <v>2</v>
      </c>
      <c r="D77" s="1" t="s">
        <v>3</v>
      </c>
      <c r="F77" s="1" t="s">
        <v>4</v>
      </c>
      <c r="G77" s="1" t="s">
        <v>5</v>
      </c>
      <c r="H77" s="1" t="s">
        <v>6</v>
      </c>
      <c r="I77" s="3"/>
      <c r="J77" s="3"/>
      <c r="K77" s="3"/>
      <c r="L77" s="1" t="s">
        <v>10</v>
      </c>
      <c r="M77" s="1" t="s">
        <v>11</v>
      </c>
      <c r="N77" s="3"/>
      <c r="O77" s="1" t="s">
        <v>13</v>
      </c>
    </row>
    <row r="78">
      <c r="A78" s="18"/>
      <c r="B78" s="19" t="s">
        <v>22</v>
      </c>
      <c r="C78" s="20">
        <v>8.138</v>
      </c>
      <c r="D78" s="20">
        <v>15.01</v>
      </c>
      <c r="E78" s="68"/>
      <c r="F78" s="20">
        <v>0.423</v>
      </c>
      <c r="G78" s="24">
        <v>0.724</v>
      </c>
      <c r="H78" s="20">
        <v>0.782</v>
      </c>
      <c r="I78" s="68"/>
      <c r="J78" s="68"/>
      <c r="K78" s="68"/>
      <c r="L78" s="20">
        <v>0.769</v>
      </c>
      <c r="M78" s="20">
        <v>0.67</v>
      </c>
      <c r="N78" s="68"/>
      <c r="O78" s="21">
        <f t="shared" ref="O78:O80" si="31">AVERAGE(F78,G78,H78,L78,M78)</f>
        <v>0.6736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>
      <c r="A79" s="19" t="s">
        <v>24</v>
      </c>
      <c r="B79" s="22" t="s">
        <v>23</v>
      </c>
      <c r="C79" s="24">
        <v>8.09</v>
      </c>
      <c r="D79" s="24">
        <v>14.994</v>
      </c>
      <c r="E79" s="68"/>
      <c r="F79" s="24">
        <v>0.428</v>
      </c>
      <c r="G79" s="20">
        <v>0.719</v>
      </c>
      <c r="H79" s="24">
        <v>0.784</v>
      </c>
      <c r="I79" s="68"/>
      <c r="J79" s="68"/>
      <c r="K79" s="68"/>
      <c r="L79" s="24">
        <v>0.776</v>
      </c>
      <c r="M79" s="24">
        <v>0.685</v>
      </c>
      <c r="N79" s="68"/>
      <c r="O79" s="69">
        <f t="shared" si="31"/>
        <v>0.6784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>
      <c r="A80" s="18"/>
      <c r="B80" s="22" t="s">
        <v>18</v>
      </c>
      <c r="C80" s="20">
        <v>8.147</v>
      </c>
      <c r="D80" s="20">
        <v>15.017</v>
      </c>
      <c r="E80" s="68"/>
      <c r="F80" s="20">
        <v>0.4182</v>
      </c>
      <c r="G80" s="24">
        <v>0.724</v>
      </c>
      <c r="H80" s="20">
        <v>0.782</v>
      </c>
      <c r="I80" s="68"/>
      <c r="J80" s="68"/>
      <c r="K80" s="68"/>
      <c r="L80" s="20">
        <v>0.768</v>
      </c>
      <c r="M80" s="20">
        <v>0.678</v>
      </c>
      <c r="N80" s="68"/>
      <c r="O80" s="21">
        <f t="shared" si="31"/>
        <v>0.67404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5"/>
    </row>
    <row r="82"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5"/>
    </row>
    <row r="83">
      <c r="B83" s="1" t="s">
        <v>25</v>
      </c>
      <c r="C83" s="15">
        <v>7.257</v>
      </c>
      <c r="D83" s="15">
        <v>12.415</v>
      </c>
      <c r="E83" s="14"/>
      <c r="F83" s="15">
        <v>0.475</v>
      </c>
      <c r="G83" s="15">
        <v>0.795</v>
      </c>
      <c r="H83" s="15">
        <v>0.823</v>
      </c>
      <c r="I83" s="52">
        <v>0.5516</v>
      </c>
      <c r="J83" s="52">
        <v>0.6627</v>
      </c>
      <c r="K83" s="52">
        <v>0.318</v>
      </c>
      <c r="L83" s="15">
        <v>0.776</v>
      </c>
      <c r="M83" s="15">
        <v>0.758</v>
      </c>
      <c r="N83" s="52">
        <v>0.7167</v>
      </c>
      <c r="O83" s="15">
        <f t="shared" ref="O83:O85" si="32">AVERAGE(F83,G83,H83,L83,M83)</f>
        <v>0.7254</v>
      </c>
    </row>
    <row r="84">
      <c r="B84" s="9" t="s">
        <v>37</v>
      </c>
      <c r="C84" s="17">
        <v>7.221</v>
      </c>
      <c r="D84" s="17">
        <v>12.401</v>
      </c>
      <c r="E84" s="14"/>
      <c r="F84" s="17">
        <v>0.502</v>
      </c>
      <c r="G84" s="17">
        <v>0.803</v>
      </c>
      <c r="H84" s="15">
        <v>0.827</v>
      </c>
      <c r="I84" s="52">
        <v>0.5531</v>
      </c>
      <c r="J84" s="15">
        <v>0.6503</v>
      </c>
      <c r="K84" s="52">
        <v>0.31</v>
      </c>
      <c r="L84" s="17">
        <v>0.777</v>
      </c>
      <c r="M84" s="17">
        <v>0.773</v>
      </c>
      <c r="N84" s="52">
        <v>0.6914</v>
      </c>
      <c r="O84" s="17">
        <f t="shared" si="32"/>
        <v>0.7364</v>
      </c>
    </row>
    <row r="85">
      <c r="B85" s="67" t="s">
        <v>18</v>
      </c>
      <c r="C85" s="15">
        <v>7.2472</v>
      </c>
      <c r="D85" s="17">
        <v>12.401</v>
      </c>
      <c r="E85" s="14"/>
      <c r="F85" s="15">
        <v>0.458</v>
      </c>
      <c r="G85" s="15">
        <v>0.77</v>
      </c>
      <c r="H85" s="17">
        <v>0.834</v>
      </c>
      <c r="I85" s="63"/>
      <c r="J85" s="63"/>
      <c r="K85" s="63"/>
      <c r="L85" s="15">
        <v>0.776</v>
      </c>
      <c r="M85" s="15">
        <v>0.765</v>
      </c>
      <c r="N85" s="63"/>
      <c r="O85" s="15">
        <f t="shared" si="32"/>
        <v>0.7206</v>
      </c>
    </row>
    <row r="86">
      <c r="I86" s="2"/>
      <c r="J86" s="2"/>
      <c r="K86" s="2"/>
      <c r="N86" s="2"/>
    </row>
    <row r="87">
      <c r="I87" s="2"/>
      <c r="J87" s="2"/>
      <c r="K87" s="2"/>
      <c r="N87" s="2"/>
    </row>
    <row r="88">
      <c r="I88" s="2"/>
      <c r="J88" s="2"/>
      <c r="K88" s="2"/>
      <c r="N88" s="2"/>
    </row>
    <row r="89">
      <c r="I89" s="2"/>
      <c r="J89" s="2"/>
      <c r="K89" s="2"/>
      <c r="N89" s="2"/>
    </row>
    <row r="90">
      <c r="I90" s="2"/>
      <c r="J90" s="2"/>
      <c r="K90" s="2"/>
      <c r="N90" s="2"/>
    </row>
    <row r="91">
      <c r="I91" s="2"/>
      <c r="J91" s="2"/>
      <c r="K91" s="2"/>
      <c r="N91" s="2"/>
    </row>
    <row r="92">
      <c r="A92" s="1" t="s">
        <v>0</v>
      </c>
      <c r="B92" s="1" t="s">
        <v>1</v>
      </c>
      <c r="I92" s="2"/>
      <c r="J92" s="2"/>
      <c r="K92" s="2"/>
      <c r="N92" s="2"/>
    </row>
    <row r="93">
      <c r="C93" s="1" t="s">
        <v>2</v>
      </c>
      <c r="D93" s="1" t="s">
        <v>3</v>
      </c>
      <c r="F93" s="1" t="s">
        <v>4</v>
      </c>
      <c r="G93" s="1" t="s">
        <v>5</v>
      </c>
      <c r="H93" s="1" t="s">
        <v>6</v>
      </c>
      <c r="I93" s="3" t="s">
        <v>7</v>
      </c>
      <c r="J93" s="3" t="s">
        <v>8</v>
      </c>
      <c r="K93" s="3" t="s">
        <v>9</v>
      </c>
      <c r="L93" s="1" t="s">
        <v>10</v>
      </c>
      <c r="M93" s="1" t="s">
        <v>11</v>
      </c>
      <c r="N93" s="3" t="s">
        <v>12</v>
      </c>
      <c r="O93" s="1" t="s">
        <v>13</v>
      </c>
    </row>
    <row r="94">
      <c r="B94" s="1" t="s">
        <v>14</v>
      </c>
      <c r="C94" s="1">
        <v>5.4425</v>
      </c>
      <c r="D94" s="1">
        <v>8.3463</v>
      </c>
      <c r="F94" s="1">
        <v>0.5188</v>
      </c>
      <c r="G94" s="1">
        <v>0.8077</v>
      </c>
      <c r="H94" s="1">
        <v>0.8226</v>
      </c>
      <c r="I94" s="3">
        <v>0.6064</v>
      </c>
      <c r="J94" s="3">
        <v>0.7605</v>
      </c>
      <c r="K94" s="3">
        <v>0.338</v>
      </c>
      <c r="L94" s="1">
        <v>0.7894</v>
      </c>
      <c r="M94" s="1">
        <v>0.7004</v>
      </c>
      <c r="N94" s="3">
        <v>0.7372</v>
      </c>
      <c r="O94" s="1">
        <v>0.72778</v>
      </c>
    </row>
    <row r="95">
      <c r="A95" s="10" t="s">
        <v>38</v>
      </c>
      <c r="B95" s="1" t="s">
        <v>55</v>
      </c>
      <c r="C95" s="5">
        <v>10.9466</v>
      </c>
      <c r="D95" s="1">
        <v>18.0442</v>
      </c>
      <c r="E95" s="1">
        <f t="shared" ref="E95:E96" si="33">AVERAGE(C95:D95)</f>
        <v>14.4954</v>
      </c>
      <c r="F95" s="1">
        <v>0.3857</v>
      </c>
      <c r="G95" s="1">
        <v>0.649</v>
      </c>
      <c r="H95" s="1">
        <v>0.7174</v>
      </c>
      <c r="I95" s="1">
        <v>0.5148</v>
      </c>
      <c r="J95" s="8">
        <v>0.665</v>
      </c>
      <c r="K95" s="1">
        <v>0.298</v>
      </c>
      <c r="L95" s="1">
        <v>0.7432</v>
      </c>
      <c r="M95" s="8">
        <v>0.5884</v>
      </c>
      <c r="N95" s="3">
        <v>0.6796</v>
      </c>
      <c r="O95" s="4">
        <f t="shared" ref="O95:O97" si="34">AVERAGE(F95,G95,H95,L95,M95)</f>
        <v>0.61674</v>
      </c>
    </row>
    <row r="96">
      <c r="B96" s="1" t="s">
        <v>58</v>
      </c>
      <c r="C96" s="6">
        <v>9.1052</v>
      </c>
      <c r="D96" s="6">
        <v>15.251</v>
      </c>
      <c r="E96" s="8">
        <f t="shared" si="33"/>
        <v>12.1781</v>
      </c>
      <c r="F96" s="8">
        <v>0.4056</v>
      </c>
      <c r="G96" s="8">
        <v>0.6702</v>
      </c>
      <c r="H96" s="1">
        <v>0.7065</v>
      </c>
      <c r="I96" s="8"/>
      <c r="J96" s="1"/>
      <c r="K96" s="8"/>
      <c r="L96" s="8">
        <v>0.7508</v>
      </c>
      <c r="M96" s="8">
        <v>0.611</v>
      </c>
      <c r="N96" s="8"/>
      <c r="O96" s="7">
        <f t="shared" si="34"/>
        <v>0.62882</v>
      </c>
      <c r="Q96" s="1"/>
      <c r="R96" s="1"/>
    </row>
    <row r="97">
      <c r="B97" s="9" t="s">
        <v>18</v>
      </c>
      <c r="C97" s="1">
        <v>10.5018</v>
      </c>
      <c r="D97" s="1">
        <v>17.7424</v>
      </c>
      <c r="F97" s="1">
        <v>0.34898</v>
      </c>
      <c r="G97" s="1">
        <v>0.64899</v>
      </c>
      <c r="H97" s="1">
        <v>0.68838</v>
      </c>
      <c r="L97" s="1">
        <v>0.71382</v>
      </c>
      <c r="M97" s="1">
        <v>0.55957</v>
      </c>
      <c r="O97" s="4">
        <f t="shared" si="34"/>
        <v>0.591948</v>
      </c>
    </row>
    <row r="98">
      <c r="A98" s="10"/>
      <c r="B98" s="10"/>
      <c r="C98" s="1"/>
      <c r="D98" s="1"/>
      <c r="F98" s="1"/>
      <c r="G98" s="1"/>
      <c r="H98" s="1"/>
      <c r="I98" s="3"/>
      <c r="J98" s="3"/>
      <c r="K98" s="3"/>
      <c r="L98" s="1"/>
      <c r="M98" s="1"/>
      <c r="N98" s="3"/>
      <c r="O98" s="1"/>
    </row>
    <row r="99">
      <c r="B99" s="10" t="s">
        <v>19</v>
      </c>
      <c r="C99" s="1">
        <v>8.1357</v>
      </c>
      <c r="D99" s="1">
        <v>13.2929</v>
      </c>
      <c r="F99" s="1">
        <v>0.394</v>
      </c>
      <c r="G99" s="1">
        <v>0.697</v>
      </c>
      <c r="H99" s="1">
        <v>0.744</v>
      </c>
      <c r="I99" s="3">
        <v>0.5373</v>
      </c>
      <c r="J99" s="3">
        <v>0.6732</v>
      </c>
      <c r="K99" s="3">
        <v>0.268</v>
      </c>
      <c r="L99" s="1">
        <v>0.759</v>
      </c>
      <c r="M99" s="1">
        <v>0.613</v>
      </c>
      <c r="N99" s="3">
        <v>0.7072</v>
      </c>
      <c r="O99" s="1">
        <f t="shared" ref="O99:O101" si="35">AVERAGE(F99,G99,H99,L99,M99)</f>
        <v>0.6414</v>
      </c>
    </row>
    <row r="100">
      <c r="A100" s="34"/>
      <c r="B100" s="35" t="s">
        <v>37</v>
      </c>
      <c r="C100" s="8">
        <v>7.9725</v>
      </c>
      <c r="D100" s="8">
        <v>12.977</v>
      </c>
      <c r="F100" s="8">
        <v>0.403</v>
      </c>
      <c r="G100" s="8">
        <v>0.707</v>
      </c>
      <c r="H100" s="8">
        <v>0.75</v>
      </c>
      <c r="I100" s="3">
        <v>0.5392</v>
      </c>
      <c r="J100" s="3">
        <v>0.6654</v>
      </c>
      <c r="K100" s="3">
        <v>0.278</v>
      </c>
      <c r="L100" s="8">
        <v>0.766</v>
      </c>
      <c r="M100" s="1">
        <v>0.614</v>
      </c>
      <c r="N100" s="3">
        <v>0.7072</v>
      </c>
      <c r="O100" s="8">
        <f t="shared" si="35"/>
        <v>0.648</v>
      </c>
    </row>
    <row r="101">
      <c r="B101" s="67" t="s">
        <v>18</v>
      </c>
      <c r="C101" s="15">
        <v>8.1403</v>
      </c>
      <c r="D101" s="15">
        <v>13.3097</v>
      </c>
      <c r="E101" s="14"/>
      <c r="F101" s="15">
        <v>0.4</v>
      </c>
      <c r="G101" s="15">
        <v>0.7</v>
      </c>
      <c r="H101" s="15">
        <v>0.742</v>
      </c>
      <c r="I101" s="63"/>
      <c r="J101" s="63"/>
      <c r="K101" s="63"/>
      <c r="L101" s="15">
        <v>0.759</v>
      </c>
      <c r="M101" s="17">
        <v>0.6354</v>
      </c>
      <c r="N101" s="63"/>
      <c r="O101" s="1">
        <f t="shared" si="35"/>
        <v>0.64728</v>
      </c>
    </row>
    <row r="102">
      <c r="I102" s="2"/>
      <c r="J102" s="2"/>
      <c r="K102" s="2"/>
      <c r="N102" s="2"/>
    </row>
    <row r="103">
      <c r="B103" s="10" t="s">
        <v>22</v>
      </c>
      <c r="C103" s="1">
        <v>9.404</v>
      </c>
      <c r="D103" s="1">
        <v>12.649</v>
      </c>
      <c r="F103" s="1">
        <v>0.373</v>
      </c>
      <c r="G103" s="1">
        <v>0.7</v>
      </c>
      <c r="H103" s="1">
        <v>0.717</v>
      </c>
      <c r="I103" s="2"/>
      <c r="J103" s="2"/>
      <c r="K103" s="2"/>
      <c r="L103" s="1">
        <v>0.756</v>
      </c>
      <c r="M103" s="1">
        <v>0.62</v>
      </c>
      <c r="N103" s="2"/>
      <c r="O103" s="1">
        <f t="shared" ref="O103:O104" si="36">AVERAGE(F103,G103,H103,L103,M103)</f>
        <v>0.6332</v>
      </c>
    </row>
    <row r="104">
      <c r="B104" s="9" t="s">
        <v>23</v>
      </c>
      <c r="C104" s="8">
        <v>9.403</v>
      </c>
      <c r="D104" s="8">
        <v>12.642</v>
      </c>
      <c r="F104" s="8">
        <v>0.374</v>
      </c>
      <c r="G104" s="8">
        <v>0.702</v>
      </c>
      <c r="H104" s="8">
        <v>0.718</v>
      </c>
      <c r="I104" s="2"/>
      <c r="J104" s="2"/>
      <c r="K104" s="2"/>
      <c r="L104" s="8">
        <v>0.759</v>
      </c>
      <c r="M104" s="8">
        <v>0.625</v>
      </c>
      <c r="N104" s="2"/>
      <c r="O104" s="8">
        <f t="shared" si="36"/>
        <v>0.6356</v>
      </c>
    </row>
    <row r="105">
      <c r="B105" s="9" t="s">
        <v>18</v>
      </c>
      <c r="C105" s="1">
        <v>9.407</v>
      </c>
      <c r="D105" s="1">
        <v>12.647</v>
      </c>
      <c r="F105" s="1">
        <v>0.373</v>
      </c>
      <c r="G105" s="1">
        <v>0.699</v>
      </c>
      <c r="H105" s="1">
        <v>0.716</v>
      </c>
      <c r="I105" s="2"/>
      <c r="J105" s="2"/>
      <c r="K105" s="2"/>
      <c r="L105" s="1">
        <v>0.755</v>
      </c>
      <c r="M105" s="1">
        <v>0.62</v>
      </c>
      <c r="N105" s="2"/>
    </row>
    <row r="106">
      <c r="I106" s="2"/>
      <c r="J106" s="2"/>
      <c r="K106" s="2"/>
      <c r="N106" s="2"/>
    </row>
    <row r="107">
      <c r="B107" s="70" t="s">
        <v>25</v>
      </c>
      <c r="C107" s="15">
        <v>7.451</v>
      </c>
      <c r="D107" s="15">
        <v>11.97988</v>
      </c>
      <c r="E107" s="14"/>
      <c r="F107" s="15">
        <v>0.417</v>
      </c>
      <c r="G107" s="15">
        <v>0.749</v>
      </c>
      <c r="H107" s="15">
        <v>0.791</v>
      </c>
      <c r="I107" s="63"/>
      <c r="J107" s="63"/>
      <c r="K107" s="63"/>
      <c r="L107" s="15">
        <v>0.768</v>
      </c>
      <c r="M107" s="15">
        <v>0.625</v>
      </c>
      <c r="N107" s="63"/>
      <c r="O107" s="15">
        <v>0.67</v>
      </c>
    </row>
    <row r="108">
      <c r="B108" s="35" t="s">
        <v>59</v>
      </c>
      <c r="C108" s="17">
        <v>7.416</v>
      </c>
      <c r="D108" s="16">
        <v>11.93264</v>
      </c>
      <c r="E108" s="14"/>
      <c r="F108" s="15">
        <v>0.417</v>
      </c>
      <c r="G108" s="17">
        <v>0.737</v>
      </c>
      <c r="H108" s="17">
        <v>0.777</v>
      </c>
      <c r="I108" s="63"/>
      <c r="J108" s="63"/>
      <c r="K108" s="63"/>
      <c r="L108" s="17">
        <v>0.767</v>
      </c>
      <c r="M108" s="17">
        <v>0.682</v>
      </c>
      <c r="N108" s="65"/>
      <c r="O108" s="17">
        <v>0.676</v>
      </c>
    </row>
    <row r="109">
      <c r="B109" s="67" t="s">
        <v>18</v>
      </c>
      <c r="C109" s="13">
        <v>7.42416</v>
      </c>
      <c r="D109" s="13">
        <v>12.05195</v>
      </c>
      <c r="E109" s="14"/>
      <c r="F109" s="16">
        <v>0.42662</v>
      </c>
      <c r="G109" s="13">
        <v>0.73022</v>
      </c>
      <c r="H109" s="13">
        <v>0.7685</v>
      </c>
      <c r="I109" s="63"/>
      <c r="J109" s="63"/>
      <c r="K109" s="63"/>
      <c r="L109" s="13">
        <v>0.75517</v>
      </c>
      <c r="M109" s="13">
        <v>0.58484</v>
      </c>
      <c r="N109" s="63"/>
      <c r="O109" s="14">
        <f>AVERAGE(F109,G109,H109,L109,M109)</f>
        <v>0.65307</v>
      </c>
    </row>
    <row r="113">
      <c r="A113" s="71" t="s">
        <v>60</v>
      </c>
      <c r="B113" s="71" t="s">
        <v>61</v>
      </c>
      <c r="C113" s="71">
        <v>5.5222</v>
      </c>
      <c r="D113" s="71">
        <v>8.713</v>
      </c>
      <c r="E113" s="72"/>
      <c r="F113" s="73">
        <v>0.5213</v>
      </c>
      <c r="G113" s="73">
        <v>0.8215</v>
      </c>
      <c r="H113" s="73">
        <v>0.8308</v>
      </c>
      <c r="I113" s="73">
        <v>0.6071</v>
      </c>
      <c r="J113" s="73">
        <v>0.7463</v>
      </c>
      <c r="K113" s="73">
        <v>0.338</v>
      </c>
      <c r="L113" s="73">
        <v>0.791</v>
      </c>
      <c r="M113" s="73">
        <v>0.7148</v>
      </c>
      <c r="N113" s="73">
        <v>0.7411</v>
      </c>
      <c r="O113" s="72">
        <f t="shared" ref="O113:O121" si="37">AVERAGE(F113,G113,H113,L113,M113)</f>
        <v>0.73588</v>
      </c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</row>
    <row r="114">
      <c r="A114" s="72"/>
      <c r="B114" s="71" t="s">
        <v>19</v>
      </c>
      <c r="C114" s="71">
        <v>7.4816</v>
      </c>
      <c r="D114" s="71">
        <v>12.3635</v>
      </c>
      <c r="E114" s="72"/>
      <c r="F114" s="73">
        <v>0.4223</v>
      </c>
      <c r="G114" s="73">
        <v>0.7504</v>
      </c>
      <c r="H114" s="73">
        <v>0.755</v>
      </c>
      <c r="I114" s="73">
        <v>0.5537</v>
      </c>
      <c r="J114" s="71">
        <v>0.6702</v>
      </c>
      <c r="K114" s="71">
        <v>0.29</v>
      </c>
      <c r="L114" s="71">
        <v>0.7649</v>
      </c>
      <c r="M114" s="71">
        <v>0.6534</v>
      </c>
      <c r="N114" s="71">
        <v>0.6953</v>
      </c>
      <c r="O114" s="74">
        <f t="shared" si="37"/>
        <v>0.6692</v>
      </c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</row>
    <row r="115">
      <c r="A115" s="72"/>
      <c r="B115" s="71" t="s">
        <v>62</v>
      </c>
      <c r="C115" s="75">
        <v>7.3635</v>
      </c>
      <c r="D115" s="71">
        <v>12.246</v>
      </c>
      <c r="E115" s="72"/>
      <c r="F115" s="71">
        <v>0.4283</v>
      </c>
      <c r="G115" s="71">
        <v>0.7558</v>
      </c>
      <c r="H115" s="71">
        <v>0.748</v>
      </c>
      <c r="I115" s="73">
        <v>0.5553</v>
      </c>
      <c r="J115" s="71">
        <v>0.6743</v>
      </c>
      <c r="K115" s="71">
        <v>0.312</v>
      </c>
      <c r="L115" s="71">
        <v>0.766</v>
      </c>
      <c r="M115" s="71">
        <v>0.5956</v>
      </c>
      <c r="N115" s="71">
        <v>0.6803</v>
      </c>
      <c r="O115" s="72">
        <f t="shared" si="37"/>
        <v>0.65874</v>
      </c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</row>
    <row r="116">
      <c r="A116" s="72"/>
      <c r="B116" s="71" t="s">
        <v>45</v>
      </c>
      <c r="C116" s="75">
        <v>7.3709</v>
      </c>
      <c r="D116" s="75">
        <v>12.2702</v>
      </c>
      <c r="E116" s="72"/>
      <c r="F116" s="73">
        <v>0.4215</v>
      </c>
      <c r="G116" s="73">
        <v>0.763</v>
      </c>
      <c r="H116" s="73">
        <v>0.7455</v>
      </c>
      <c r="I116" s="71">
        <v>0.5534</v>
      </c>
      <c r="J116" s="73">
        <v>0.6764</v>
      </c>
      <c r="K116" s="73">
        <v>0.296</v>
      </c>
      <c r="L116" s="73">
        <v>0.7644</v>
      </c>
      <c r="M116" s="73">
        <v>0.574</v>
      </c>
      <c r="N116" s="73">
        <v>0.692</v>
      </c>
      <c r="O116" s="72">
        <f t="shared" si="37"/>
        <v>0.65368</v>
      </c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</row>
    <row r="117">
      <c r="A117" s="72"/>
      <c r="B117" s="71" t="s">
        <v>63</v>
      </c>
      <c r="C117" s="71">
        <v>7.369</v>
      </c>
      <c r="D117" s="71">
        <v>12.2343</v>
      </c>
      <c r="E117" s="72"/>
      <c r="F117" s="73">
        <v>0.4317</v>
      </c>
      <c r="G117" s="73">
        <v>0.7558</v>
      </c>
      <c r="H117" s="73">
        <v>0.7431</v>
      </c>
      <c r="I117" s="73">
        <v>0.5555</v>
      </c>
      <c r="J117" s="73">
        <v>0.6714</v>
      </c>
      <c r="K117" s="73">
        <v>0.314</v>
      </c>
      <c r="L117" s="73">
        <v>0.7649</v>
      </c>
      <c r="M117" s="73">
        <v>0.5703</v>
      </c>
      <c r="N117" s="73">
        <v>0.685</v>
      </c>
      <c r="O117" s="72">
        <f t="shared" si="37"/>
        <v>0.65316</v>
      </c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</row>
    <row r="118">
      <c r="A118" s="71" t="s">
        <v>64</v>
      </c>
      <c r="B118" s="71" t="s">
        <v>14</v>
      </c>
      <c r="C118" s="76">
        <v>5.5221</v>
      </c>
      <c r="D118" s="76">
        <v>8.409</v>
      </c>
      <c r="E118" s="77"/>
      <c r="F118" s="76">
        <v>0.5128</v>
      </c>
      <c r="G118" s="76">
        <v>0.8157</v>
      </c>
      <c r="H118" s="76">
        <v>0.8205</v>
      </c>
      <c r="I118" s="78">
        <v>0.6002</v>
      </c>
      <c r="J118" s="78">
        <v>0.7578</v>
      </c>
      <c r="K118" s="78">
        <v>0.334</v>
      </c>
      <c r="L118" s="76">
        <v>0.8014</v>
      </c>
      <c r="M118" s="76">
        <v>0.6931</v>
      </c>
      <c r="N118" s="78">
        <v>0.7372</v>
      </c>
      <c r="O118" s="76">
        <f t="shared" si="37"/>
        <v>0.7287</v>
      </c>
    </row>
    <row r="119">
      <c r="A119" s="72"/>
      <c r="B119" s="79" t="s">
        <v>19</v>
      </c>
      <c r="C119" s="76">
        <v>8.0936</v>
      </c>
      <c r="D119" s="76">
        <v>13.1569</v>
      </c>
      <c r="E119" s="77"/>
      <c r="F119" s="76">
        <v>0.413</v>
      </c>
      <c r="G119" s="76">
        <v>0.745</v>
      </c>
      <c r="H119" s="76">
        <v>0.715</v>
      </c>
      <c r="I119" s="78">
        <v>0.5364</v>
      </c>
      <c r="J119" s="78">
        <v>0.6697</v>
      </c>
      <c r="K119" s="78">
        <v>0.304</v>
      </c>
      <c r="L119" s="76">
        <v>0.756</v>
      </c>
      <c r="M119" s="76">
        <v>0.624</v>
      </c>
      <c r="N119" s="78">
        <v>0.6819</v>
      </c>
      <c r="O119" s="76">
        <f t="shared" si="37"/>
        <v>0.6506</v>
      </c>
    </row>
    <row r="120">
      <c r="A120" s="72"/>
      <c r="B120" s="79" t="s">
        <v>62</v>
      </c>
      <c r="C120" s="80">
        <v>7.8933</v>
      </c>
      <c r="D120" s="80">
        <v>12.8506</v>
      </c>
      <c r="E120" s="77"/>
      <c r="F120" s="76">
        <v>0.407</v>
      </c>
      <c r="G120" s="80">
        <v>0.749</v>
      </c>
      <c r="H120" s="80">
        <v>0.724</v>
      </c>
      <c r="I120" s="78">
        <v>0.5411</v>
      </c>
      <c r="J120" s="78">
        <v>0.6532</v>
      </c>
      <c r="K120" s="78">
        <v>0.3</v>
      </c>
      <c r="L120" s="80">
        <v>0.764</v>
      </c>
      <c r="M120" s="80">
        <v>0.638</v>
      </c>
      <c r="N120" s="78">
        <v>0.689</v>
      </c>
      <c r="O120" s="80">
        <f t="shared" si="37"/>
        <v>0.6564</v>
      </c>
    </row>
    <row r="121">
      <c r="C121" s="5">
        <v>7.3542</v>
      </c>
      <c r="D121" s="5">
        <v>12.2376</v>
      </c>
      <c r="F121" s="1">
        <v>0.43</v>
      </c>
      <c r="G121" s="5">
        <v>0.7555</v>
      </c>
      <c r="H121" s="5">
        <v>0.7514</v>
      </c>
      <c r="I121" s="5">
        <v>0.5537</v>
      </c>
      <c r="J121" s="1">
        <v>0.6761</v>
      </c>
      <c r="K121" s="5">
        <v>0.31</v>
      </c>
      <c r="L121" s="5">
        <v>0.7682</v>
      </c>
      <c r="M121" s="5">
        <v>0.5993</v>
      </c>
      <c r="N121" s="5">
        <v>0.6867</v>
      </c>
      <c r="O121" s="80">
        <f t="shared" si="37"/>
        <v>0.66088</v>
      </c>
    </row>
    <row r="123">
      <c r="A123" s="1" t="s">
        <v>50</v>
      </c>
      <c r="B123" s="1" t="s">
        <v>61</v>
      </c>
      <c r="C123" s="1">
        <v>4.8454</v>
      </c>
      <c r="D123" s="1">
        <v>7.604</v>
      </c>
      <c r="F123" s="81">
        <v>0.5102</v>
      </c>
      <c r="G123" s="81">
        <v>0.8013</v>
      </c>
      <c r="H123" s="81">
        <v>0.8348</v>
      </c>
      <c r="I123" s="81">
        <v>0.612</v>
      </c>
      <c r="J123" s="81">
        <v>0.7533</v>
      </c>
      <c r="K123" s="81">
        <v>0.356</v>
      </c>
      <c r="L123" s="81">
        <v>0.7992</v>
      </c>
      <c r="M123" s="81">
        <v>0.689</v>
      </c>
      <c r="N123" s="81">
        <v>0.7426</v>
      </c>
      <c r="O123" s="4">
        <f t="shared" ref="O123:O128" si="38">AVERAGE(F123,G123,H123,L123,M123)</f>
        <v>0.7269</v>
      </c>
    </row>
    <row r="124">
      <c r="B124" s="1" t="s">
        <v>19</v>
      </c>
      <c r="C124" s="1">
        <v>5.3925</v>
      </c>
      <c r="D124" s="1">
        <v>8.3747</v>
      </c>
      <c r="F124" s="81">
        <v>0.4488</v>
      </c>
      <c r="G124" s="81">
        <v>0.7672</v>
      </c>
      <c r="H124" s="81">
        <v>0.8091</v>
      </c>
      <c r="I124" s="81">
        <v>0.5812</v>
      </c>
      <c r="J124" s="81">
        <v>0.692</v>
      </c>
      <c r="K124" s="81">
        <v>0.334</v>
      </c>
      <c r="L124" s="81">
        <v>0.7954</v>
      </c>
      <c r="M124" s="81">
        <v>0.6714</v>
      </c>
      <c r="N124" s="81">
        <v>0.7103</v>
      </c>
      <c r="O124" s="4">
        <f t="shared" si="38"/>
        <v>0.69838</v>
      </c>
    </row>
    <row r="125">
      <c r="B125" s="1" t="s">
        <v>62</v>
      </c>
      <c r="C125" s="1">
        <v>5.3809</v>
      </c>
      <c r="D125" s="1">
        <v>8.3566</v>
      </c>
      <c r="F125" s="81">
        <v>0.4522</v>
      </c>
      <c r="G125" s="81">
        <v>0.7659</v>
      </c>
      <c r="H125" s="81">
        <v>0.8247</v>
      </c>
      <c r="I125" s="81">
        <v>0.5836</v>
      </c>
      <c r="J125" s="81">
        <v>0.71</v>
      </c>
      <c r="K125" s="81">
        <v>0.332</v>
      </c>
      <c r="L125" s="81">
        <v>0.791</v>
      </c>
      <c r="M125" s="81">
        <v>0.6714</v>
      </c>
      <c r="N125" s="81">
        <v>0.7174</v>
      </c>
      <c r="O125" s="7">
        <f t="shared" si="38"/>
        <v>0.70104</v>
      </c>
    </row>
    <row r="126">
      <c r="B126" s="1" t="s">
        <v>63</v>
      </c>
      <c r="C126" s="1">
        <v>5.383</v>
      </c>
      <c r="D126" s="1">
        <v>8.3688</v>
      </c>
      <c r="F126" s="81">
        <v>0.459</v>
      </c>
      <c r="G126" s="81">
        <v>0.7647</v>
      </c>
      <c r="H126" s="81">
        <v>0.8165</v>
      </c>
      <c r="I126" s="81">
        <v>0.5841</v>
      </c>
      <c r="J126" s="81">
        <v>0.7087</v>
      </c>
      <c r="K126" s="81">
        <v>0.334</v>
      </c>
      <c r="L126" s="81">
        <v>0.7916</v>
      </c>
      <c r="M126" s="81">
        <v>0.6534</v>
      </c>
      <c r="N126" s="81">
        <v>0.707</v>
      </c>
      <c r="O126" s="4">
        <f t="shared" si="38"/>
        <v>0.69704</v>
      </c>
    </row>
    <row r="127">
      <c r="B127" s="1" t="s">
        <v>45</v>
      </c>
      <c r="C127" s="5">
        <v>5.4675</v>
      </c>
      <c r="D127" s="1">
        <v>8.499</v>
      </c>
      <c r="F127" s="81">
        <v>0.453</v>
      </c>
      <c r="G127" s="81">
        <v>0.7693</v>
      </c>
      <c r="H127" s="81">
        <v>0.8266</v>
      </c>
      <c r="I127" s="81">
        <v>0.5826</v>
      </c>
      <c r="J127" s="81">
        <v>0.7052</v>
      </c>
      <c r="K127" s="81">
        <v>0.344</v>
      </c>
      <c r="L127" s="81">
        <v>0.7894</v>
      </c>
      <c r="M127" s="81">
        <v>0.6498</v>
      </c>
      <c r="N127" s="81">
        <v>0.7182</v>
      </c>
      <c r="O127" s="4">
        <f t="shared" si="38"/>
        <v>0.69762</v>
      </c>
    </row>
    <row r="128">
      <c r="B128" s="1" t="s">
        <v>65</v>
      </c>
      <c r="C128" s="5">
        <v>5.4335</v>
      </c>
      <c r="D128" s="5">
        <v>8.4459</v>
      </c>
      <c r="F128" s="5">
        <v>0.4567</v>
      </c>
      <c r="G128" s="5">
        <v>0.7643</v>
      </c>
      <c r="H128" s="5">
        <v>0.818</v>
      </c>
      <c r="I128" s="5">
        <v>0.5831</v>
      </c>
      <c r="J128" s="5">
        <v>0.6961</v>
      </c>
      <c r="K128" s="5">
        <v>0.334</v>
      </c>
      <c r="L128" s="5">
        <v>0.7911</v>
      </c>
      <c r="M128" s="5">
        <v>0.6731</v>
      </c>
      <c r="N128" s="5">
        <v>0.7127</v>
      </c>
      <c r="O128" s="4">
        <f t="shared" si="38"/>
        <v>0.70064</v>
      </c>
    </row>
    <row r="130">
      <c r="B130" s="10" t="s">
        <v>19</v>
      </c>
      <c r="C130" s="15">
        <v>5.572</v>
      </c>
      <c r="D130" s="15">
        <v>8.6483</v>
      </c>
      <c r="E130" s="14"/>
      <c r="F130" s="17">
        <v>0.4394</v>
      </c>
      <c r="G130" s="15">
        <v>0.7635</v>
      </c>
      <c r="H130" s="15">
        <v>0.7804</v>
      </c>
      <c r="I130" s="52">
        <v>0.5768</v>
      </c>
      <c r="J130" s="52">
        <v>0.6846</v>
      </c>
      <c r="K130" s="52">
        <v>0.29</v>
      </c>
      <c r="L130" s="15">
        <v>0.7867</v>
      </c>
      <c r="M130" s="15">
        <v>0.6029</v>
      </c>
      <c r="N130" s="52">
        <v>0.7064</v>
      </c>
      <c r="O130" s="15">
        <f t="shared" ref="O130:O131" si="39">AVERAGE(F130,G130,H130,L130,M130)</f>
        <v>0.67458</v>
      </c>
    </row>
    <row r="131">
      <c r="B131" s="1" t="s">
        <v>62</v>
      </c>
      <c r="C131" s="17">
        <v>5.5237</v>
      </c>
      <c r="D131" s="17">
        <v>8.5521</v>
      </c>
      <c r="E131" s="14"/>
      <c r="F131" s="15">
        <v>0.4386</v>
      </c>
      <c r="G131" s="17">
        <v>0.7656</v>
      </c>
      <c r="H131" s="17">
        <v>0.7936</v>
      </c>
      <c r="I131" s="52">
        <v>0.5814</v>
      </c>
      <c r="J131" s="62">
        <v>0.6922</v>
      </c>
      <c r="K131" s="52">
        <v>0.292</v>
      </c>
      <c r="L131" s="17">
        <v>0.7873</v>
      </c>
      <c r="M131" s="17">
        <v>0.6173</v>
      </c>
      <c r="N131" s="52">
        <v>0.7032</v>
      </c>
      <c r="O131" s="17">
        <f t="shared" si="39"/>
        <v>0.68048</v>
      </c>
    </row>
    <row r="135" ht="15.0" customHeight="1"/>
    <row r="137">
      <c r="A137" s="1" t="s">
        <v>66</v>
      </c>
    </row>
    <row r="138">
      <c r="C138" s="1" t="s">
        <v>2</v>
      </c>
      <c r="D138" s="1" t="s">
        <v>3</v>
      </c>
      <c r="F138" s="1" t="s">
        <v>31</v>
      </c>
      <c r="G138" s="1" t="s">
        <v>32</v>
      </c>
      <c r="H138" s="1" t="s">
        <v>6</v>
      </c>
      <c r="L138" s="1" t="s">
        <v>10</v>
      </c>
      <c r="M138" s="1" t="s">
        <v>11</v>
      </c>
      <c r="O138" s="1" t="s">
        <v>13</v>
      </c>
    </row>
    <row r="139">
      <c r="A139" s="71" t="s">
        <v>64</v>
      </c>
      <c r="B139" s="79" t="s">
        <v>19</v>
      </c>
      <c r="C139" s="76">
        <v>8.0936</v>
      </c>
      <c r="D139" s="76">
        <v>13.1569</v>
      </c>
      <c r="E139" s="77"/>
      <c r="F139" s="76">
        <v>0.413</v>
      </c>
      <c r="G139" s="76">
        <v>0.745</v>
      </c>
      <c r="H139" s="76">
        <v>0.715</v>
      </c>
      <c r="I139" s="78">
        <v>0.5364</v>
      </c>
      <c r="J139" s="78">
        <v>0.6697</v>
      </c>
      <c r="K139" s="78">
        <v>0.304</v>
      </c>
      <c r="L139" s="76">
        <v>0.756</v>
      </c>
      <c r="M139" s="76">
        <v>0.624</v>
      </c>
      <c r="N139" s="78">
        <v>0.6819</v>
      </c>
      <c r="O139" s="76">
        <f t="shared" ref="O139:O141" si="40">AVERAGE(F139,G139,H139,L139,M139)</f>
        <v>0.6506</v>
      </c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</row>
    <row r="140">
      <c r="A140" s="1" t="s">
        <v>67</v>
      </c>
      <c r="B140" s="1" t="s">
        <v>19</v>
      </c>
      <c r="C140" s="15">
        <v>8.0936</v>
      </c>
      <c r="D140" s="15">
        <v>13.1569</v>
      </c>
      <c r="E140" s="14"/>
      <c r="F140" s="15">
        <v>0.413</v>
      </c>
      <c r="G140" s="15">
        <v>0.745</v>
      </c>
      <c r="H140" s="15">
        <v>0.715</v>
      </c>
      <c r="I140" s="52">
        <v>0.5364</v>
      </c>
      <c r="J140" s="52">
        <v>0.6697</v>
      </c>
      <c r="K140" s="52">
        <v>0.304</v>
      </c>
      <c r="L140" s="15">
        <v>0.756</v>
      </c>
      <c r="M140" s="15">
        <v>0.624</v>
      </c>
      <c r="N140" s="52">
        <v>0.6819</v>
      </c>
      <c r="O140" s="15">
        <f t="shared" si="40"/>
        <v>0.6506</v>
      </c>
    </row>
    <row r="141">
      <c r="B141" s="1" t="s">
        <v>62</v>
      </c>
      <c r="C141" s="17">
        <v>7.8933</v>
      </c>
      <c r="D141" s="15">
        <v>12.8506</v>
      </c>
      <c r="E141" s="14"/>
      <c r="F141" s="15">
        <v>0.407</v>
      </c>
      <c r="G141" s="17">
        <v>0.749</v>
      </c>
      <c r="H141" s="17">
        <v>0.724</v>
      </c>
      <c r="I141" s="52">
        <v>0.5411</v>
      </c>
      <c r="J141" s="52">
        <v>0.6532</v>
      </c>
      <c r="K141" s="52">
        <v>0.3</v>
      </c>
      <c r="L141" s="17">
        <v>0.764</v>
      </c>
      <c r="M141" s="17">
        <v>0.638</v>
      </c>
      <c r="N141" s="52">
        <v>0.689</v>
      </c>
      <c r="O141" s="17">
        <f t="shared" si="40"/>
        <v>0.6564</v>
      </c>
    </row>
    <row r="142">
      <c r="B142" s="1" t="s">
        <v>45</v>
      </c>
      <c r="C142" s="1">
        <v>7.9059</v>
      </c>
      <c r="D142" s="1">
        <v>12.9137</v>
      </c>
      <c r="F142" s="1">
        <v>0.40847</v>
      </c>
      <c r="G142" s="1">
        <v>0.757</v>
      </c>
      <c r="H142" s="1">
        <v>0.72073</v>
      </c>
      <c r="I142" s="1">
        <v>0.5406</v>
      </c>
      <c r="J142" s="1">
        <v>0.67303</v>
      </c>
      <c r="K142" s="1">
        <v>0.29533</v>
      </c>
      <c r="L142" s="1">
        <v>0.76423</v>
      </c>
      <c r="M142" s="1">
        <v>0.5711</v>
      </c>
      <c r="N142" s="1">
        <v>0.68913</v>
      </c>
      <c r="O142" s="1">
        <v>0.64431</v>
      </c>
    </row>
    <row r="143">
      <c r="B143" s="1" t="s">
        <v>63</v>
      </c>
      <c r="C143" s="1">
        <v>7.9026</v>
      </c>
      <c r="D143" s="8">
        <v>12.8201</v>
      </c>
      <c r="E143" s="1"/>
      <c r="F143" s="1">
        <v>0.41867</v>
      </c>
      <c r="G143" s="1">
        <v>0.7498</v>
      </c>
      <c r="H143" s="1">
        <v>0.71833</v>
      </c>
      <c r="I143" s="1">
        <v>0.5427</v>
      </c>
      <c r="J143" s="1">
        <v>0.66803</v>
      </c>
      <c r="K143" s="1">
        <v>0.31333</v>
      </c>
      <c r="L143" s="1">
        <v>0.76473</v>
      </c>
      <c r="M143" s="1">
        <v>0.5674</v>
      </c>
      <c r="N143" s="1">
        <v>0.68213</v>
      </c>
      <c r="O143" s="1">
        <v>0.64379</v>
      </c>
    </row>
    <row r="144">
      <c r="B144" s="1" t="s">
        <v>65</v>
      </c>
      <c r="C144" s="1">
        <v>7.8975</v>
      </c>
      <c r="D144" s="1">
        <v>12.8287</v>
      </c>
      <c r="E144" s="1"/>
      <c r="F144" s="1">
        <v>0.4147</v>
      </c>
      <c r="G144" s="1">
        <v>0.7494</v>
      </c>
      <c r="H144" s="1">
        <v>0.7194</v>
      </c>
      <c r="I144" s="1">
        <v>0.53795</v>
      </c>
      <c r="J144" s="1">
        <v>0.6653</v>
      </c>
      <c r="K144" s="1">
        <v>0.311</v>
      </c>
      <c r="L144" s="1">
        <v>0.76275</v>
      </c>
      <c r="M144" s="1">
        <v>0.6058</v>
      </c>
      <c r="N144" s="1">
        <v>0.68435</v>
      </c>
      <c r="O144" s="1">
        <v>0.65041</v>
      </c>
    </row>
    <row r="145">
      <c r="A145" s="82"/>
      <c r="B145" s="46"/>
      <c r="C145" s="42"/>
      <c r="D145" s="42"/>
      <c r="E145" s="40"/>
      <c r="F145" s="39"/>
      <c r="G145" s="42"/>
      <c r="H145" s="42"/>
      <c r="I145" s="83"/>
      <c r="J145" s="83"/>
      <c r="K145" s="83"/>
      <c r="L145" s="42"/>
      <c r="M145" s="42"/>
      <c r="N145" s="83"/>
      <c r="O145" s="42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>
      <c r="A146" s="84" t="s">
        <v>64</v>
      </c>
      <c r="B146" s="85" t="s">
        <v>19</v>
      </c>
      <c r="C146" s="86">
        <v>5.572</v>
      </c>
      <c r="D146" s="86">
        <v>8.6483</v>
      </c>
      <c r="E146" s="87"/>
      <c r="F146" s="88">
        <v>0.4394</v>
      </c>
      <c r="G146" s="86">
        <v>0.7635</v>
      </c>
      <c r="H146" s="86">
        <v>0.7804</v>
      </c>
      <c r="I146" s="89">
        <v>0.5768</v>
      </c>
      <c r="J146" s="89">
        <v>0.6846</v>
      </c>
      <c r="K146" s="89">
        <v>0.29</v>
      </c>
      <c r="L146" s="86">
        <v>0.7867</v>
      </c>
      <c r="M146" s="86">
        <v>0.6029</v>
      </c>
      <c r="N146" s="89">
        <v>0.7064</v>
      </c>
      <c r="O146" s="86">
        <f t="shared" ref="O146:O148" si="41">AVERAGE(F146,G146,H146,L146,M146)</f>
        <v>0.67458</v>
      </c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</row>
    <row r="147">
      <c r="A147" s="1" t="s">
        <v>15</v>
      </c>
      <c r="B147" s="10" t="s">
        <v>19</v>
      </c>
      <c r="C147" s="15">
        <v>5.572</v>
      </c>
      <c r="D147" s="15">
        <v>8.6483</v>
      </c>
      <c r="E147" s="14"/>
      <c r="F147" s="17">
        <v>0.4394</v>
      </c>
      <c r="G147" s="15">
        <v>0.7635</v>
      </c>
      <c r="H147" s="15">
        <v>0.7804</v>
      </c>
      <c r="I147" s="52">
        <v>0.5768</v>
      </c>
      <c r="J147" s="52">
        <v>0.6846</v>
      </c>
      <c r="K147" s="52">
        <v>0.29</v>
      </c>
      <c r="L147" s="15">
        <v>0.7867</v>
      </c>
      <c r="M147" s="15">
        <v>0.6029</v>
      </c>
      <c r="N147" s="52">
        <v>0.7064</v>
      </c>
      <c r="O147" s="15">
        <f t="shared" si="41"/>
        <v>0.67458</v>
      </c>
    </row>
    <row r="148">
      <c r="B148" s="1" t="s">
        <v>62</v>
      </c>
      <c r="C148" s="17">
        <v>5.5237</v>
      </c>
      <c r="D148" s="17">
        <v>8.5521</v>
      </c>
      <c r="E148" s="14"/>
      <c r="F148" s="15">
        <v>0.4386</v>
      </c>
      <c r="G148" s="17">
        <v>0.7656</v>
      </c>
      <c r="H148" s="17">
        <v>0.7936</v>
      </c>
      <c r="I148" s="52">
        <v>0.5814</v>
      </c>
      <c r="J148" s="62">
        <v>0.6922</v>
      </c>
      <c r="K148" s="52">
        <v>0.292</v>
      </c>
      <c r="L148" s="17">
        <v>0.7873</v>
      </c>
      <c r="M148" s="17">
        <v>0.6173</v>
      </c>
      <c r="N148" s="52">
        <v>0.7032</v>
      </c>
      <c r="O148" s="17">
        <f t="shared" si="41"/>
        <v>0.68048</v>
      </c>
    </row>
    <row r="149">
      <c r="B149" s="1" t="s">
        <v>45</v>
      </c>
      <c r="C149" s="1">
        <v>5.8843</v>
      </c>
      <c r="D149" s="1">
        <v>8.6589</v>
      </c>
      <c r="E149" s="1"/>
      <c r="F149" s="1">
        <v>0.4415</v>
      </c>
      <c r="G149" s="1">
        <v>0.7673</v>
      </c>
      <c r="H149" s="1">
        <v>0.7967</v>
      </c>
      <c r="I149" s="1">
        <v>0.5793</v>
      </c>
      <c r="J149" s="1">
        <v>0.6926</v>
      </c>
      <c r="K149" s="1">
        <v>0.302</v>
      </c>
      <c r="L149" s="1">
        <v>0.7832</v>
      </c>
      <c r="M149" s="1">
        <v>0.5885</v>
      </c>
      <c r="N149" s="1">
        <v>0.70915</v>
      </c>
      <c r="O149" s="1">
        <v>0.67544</v>
      </c>
    </row>
    <row r="150">
      <c r="B150" s="1" t="s">
        <v>63</v>
      </c>
      <c r="C150" s="1">
        <v>5.5324</v>
      </c>
      <c r="D150" s="1">
        <v>8.6169</v>
      </c>
      <c r="E150" s="1"/>
      <c r="F150" s="1">
        <v>0.4475</v>
      </c>
      <c r="G150" s="1">
        <v>0.7627</v>
      </c>
      <c r="H150" s="1">
        <v>0.7866</v>
      </c>
      <c r="I150" s="1">
        <v>0.5808</v>
      </c>
      <c r="J150" s="1">
        <v>0.6961</v>
      </c>
      <c r="K150" s="1">
        <v>0.292</v>
      </c>
      <c r="L150" s="1">
        <v>0.7854</v>
      </c>
      <c r="M150" s="1">
        <v>0.5921</v>
      </c>
      <c r="N150" s="1">
        <v>0.69795</v>
      </c>
      <c r="O150" s="1">
        <v>0.6748</v>
      </c>
    </row>
    <row r="151">
      <c r="B151" s="1" t="s">
        <v>65</v>
      </c>
      <c r="C151" s="1">
        <v>5.7427</v>
      </c>
      <c r="D151" s="1">
        <v>8.8267</v>
      </c>
      <c r="E151" s="1"/>
      <c r="F151" s="1">
        <v>0.4452</v>
      </c>
      <c r="G151" s="1">
        <v>0.7623</v>
      </c>
      <c r="H151" s="1">
        <v>0.7881</v>
      </c>
      <c r="I151" s="1">
        <v>0.5798</v>
      </c>
      <c r="J151" s="1">
        <v>0.6835</v>
      </c>
      <c r="K151" s="1">
        <v>0.292</v>
      </c>
      <c r="L151" s="1">
        <v>0.7849</v>
      </c>
      <c r="M151" s="1">
        <v>0.6118</v>
      </c>
      <c r="N151" s="1">
        <v>0.70365</v>
      </c>
      <c r="O151" s="1">
        <v>0.67846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</v>
      </c>
    </row>
    <row r="2">
      <c r="C2" s="1" t="s">
        <v>2</v>
      </c>
      <c r="D2" s="1" t="s">
        <v>3</v>
      </c>
      <c r="F2" s="1" t="s">
        <v>31</v>
      </c>
      <c r="G2" s="1" t="s">
        <v>32</v>
      </c>
      <c r="H2" s="1" t="s">
        <v>6</v>
      </c>
      <c r="L2" s="1" t="s">
        <v>10</v>
      </c>
      <c r="M2" s="1" t="s">
        <v>11</v>
      </c>
      <c r="O2" s="1" t="s">
        <v>13</v>
      </c>
    </row>
    <row r="3">
      <c r="A3" s="1" t="s">
        <v>67</v>
      </c>
      <c r="B3" s="1" t="s">
        <v>19</v>
      </c>
      <c r="C3" s="15">
        <v>8.0936</v>
      </c>
      <c r="D3" s="15">
        <v>13.1569</v>
      </c>
      <c r="E3" s="14"/>
      <c r="F3" s="15">
        <v>0.413</v>
      </c>
      <c r="G3" s="15">
        <v>0.745</v>
      </c>
      <c r="H3" s="15">
        <v>0.715</v>
      </c>
      <c r="I3" s="52">
        <v>0.5364</v>
      </c>
      <c r="J3" s="52">
        <v>0.6697</v>
      </c>
      <c r="K3" s="52">
        <v>0.304</v>
      </c>
      <c r="L3" s="15">
        <v>0.756</v>
      </c>
      <c r="M3" s="15">
        <v>0.624</v>
      </c>
      <c r="N3" s="52">
        <v>0.6819</v>
      </c>
      <c r="O3" s="15">
        <f t="shared" ref="O3:O4" si="1">AVERAGE(F3,G3,H3,L3,M3)</f>
        <v>0.6506</v>
      </c>
    </row>
    <row r="4">
      <c r="B4" s="1" t="s">
        <v>62</v>
      </c>
      <c r="C4" s="17">
        <v>7.8933</v>
      </c>
      <c r="D4" s="15">
        <v>12.8506</v>
      </c>
      <c r="E4" s="14"/>
      <c r="F4" s="15">
        <v>0.407</v>
      </c>
      <c r="G4" s="17">
        <v>0.749</v>
      </c>
      <c r="H4" s="17">
        <v>0.724</v>
      </c>
      <c r="I4" s="52">
        <v>0.5411</v>
      </c>
      <c r="J4" s="52">
        <v>0.6532</v>
      </c>
      <c r="K4" s="52">
        <v>0.3</v>
      </c>
      <c r="L4" s="17">
        <v>0.764</v>
      </c>
      <c r="M4" s="17">
        <v>0.638</v>
      </c>
      <c r="N4" s="52">
        <v>0.689</v>
      </c>
      <c r="O4" s="17">
        <f t="shared" si="1"/>
        <v>0.6564</v>
      </c>
    </row>
    <row r="5">
      <c r="B5" s="1" t="s">
        <v>45</v>
      </c>
      <c r="C5" s="1">
        <v>7.9059</v>
      </c>
      <c r="D5" s="1">
        <v>12.9137</v>
      </c>
      <c r="F5" s="1">
        <v>0.40847</v>
      </c>
      <c r="G5" s="1">
        <v>0.757</v>
      </c>
      <c r="H5" s="1">
        <v>0.72073</v>
      </c>
      <c r="I5" s="1">
        <v>0.5406</v>
      </c>
      <c r="J5" s="1">
        <v>0.67303</v>
      </c>
      <c r="K5" s="1">
        <v>0.29533</v>
      </c>
      <c r="L5" s="1">
        <v>0.76423</v>
      </c>
      <c r="M5" s="1">
        <v>0.5711</v>
      </c>
      <c r="N5" s="1">
        <v>0.68913</v>
      </c>
      <c r="O5" s="1">
        <v>0.64431</v>
      </c>
    </row>
    <row r="6">
      <c r="B6" s="1" t="s">
        <v>63</v>
      </c>
      <c r="C6" s="1">
        <v>7.9026</v>
      </c>
      <c r="D6" s="8">
        <v>12.8201</v>
      </c>
      <c r="E6" s="1"/>
      <c r="F6" s="1">
        <v>0.41867</v>
      </c>
      <c r="G6" s="1">
        <v>0.7498</v>
      </c>
      <c r="H6" s="1">
        <v>0.71833</v>
      </c>
      <c r="I6" s="1">
        <v>0.5427</v>
      </c>
      <c r="J6" s="1">
        <v>0.66803</v>
      </c>
      <c r="K6" s="1">
        <v>0.31333</v>
      </c>
      <c r="L6" s="1">
        <v>0.76473</v>
      </c>
      <c r="M6" s="1">
        <v>0.5674</v>
      </c>
      <c r="N6" s="1">
        <v>0.68213</v>
      </c>
      <c r="O6" s="1">
        <v>0.64379</v>
      </c>
    </row>
    <row r="9">
      <c r="A9" s="1" t="s">
        <v>15</v>
      </c>
      <c r="B9" s="10" t="s">
        <v>19</v>
      </c>
      <c r="C9" s="15">
        <v>5.572</v>
      </c>
      <c r="D9" s="15">
        <v>8.6483</v>
      </c>
      <c r="E9" s="14"/>
      <c r="F9" s="17">
        <v>0.4394</v>
      </c>
      <c r="G9" s="15">
        <v>0.7635</v>
      </c>
      <c r="H9" s="15">
        <v>0.7804</v>
      </c>
      <c r="I9" s="52">
        <v>0.5768</v>
      </c>
      <c r="J9" s="52">
        <v>0.6846</v>
      </c>
      <c r="K9" s="52">
        <v>0.29</v>
      </c>
      <c r="L9" s="15">
        <v>0.7867</v>
      </c>
      <c r="M9" s="15">
        <v>0.6029</v>
      </c>
      <c r="N9" s="52">
        <v>0.7064</v>
      </c>
      <c r="O9" s="15">
        <f t="shared" ref="O9:O10" si="2">AVERAGE(F9,G9,H9,L9,M9)</f>
        <v>0.67458</v>
      </c>
    </row>
    <row r="10">
      <c r="B10" s="1" t="s">
        <v>62</v>
      </c>
      <c r="C10" s="17">
        <v>5.5237</v>
      </c>
      <c r="D10" s="17">
        <v>8.5521</v>
      </c>
      <c r="E10" s="14"/>
      <c r="F10" s="15">
        <v>0.4386</v>
      </c>
      <c r="G10" s="17">
        <v>0.7656</v>
      </c>
      <c r="H10" s="17">
        <v>0.7936</v>
      </c>
      <c r="I10" s="52">
        <v>0.5814</v>
      </c>
      <c r="J10" s="62">
        <v>0.6922</v>
      </c>
      <c r="K10" s="52">
        <v>0.292</v>
      </c>
      <c r="L10" s="17">
        <v>0.7873</v>
      </c>
      <c r="M10" s="17">
        <v>0.6173</v>
      </c>
      <c r="N10" s="52">
        <v>0.7032</v>
      </c>
      <c r="O10" s="17">
        <f t="shared" si="2"/>
        <v>0.68048</v>
      </c>
    </row>
    <row r="11">
      <c r="B11" s="1" t="s">
        <v>45</v>
      </c>
      <c r="C11" s="1">
        <v>5.8843</v>
      </c>
      <c r="D11" s="1">
        <v>8.6589</v>
      </c>
      <c r="E11" s="1"/>
      <c r="F11" s="1">
        <v>0.4415</v>
      </c>
      <c r="G11" s="1">
        <v>0.7673</v>
      </c>
      <c r="H11" s="1">
        <v>0.7967</v>
      </c>
      <c r="I11" s="1">
        <v>0.5793</v>
      </c>
      <c r="J11" s="1">
        <v>0.6926</v>
      </c>
      <c r="K11" s="1">
        <v>0.302</v>
      </c>
      <c r="L11" s="1">
        <v>0.7832</v>
      </c>
      <c r="M11" s="1">
        <v>0.5885</v>
      </c>
      <c r="N11" s="1">
        <v>0.70915</v>
      </c>
      <c r="O11" s="1">
        <v>0.67544</v>
      </c>
    </row>
    <row r="12">
      <c r="B12" s="1" t="s">
        <v>63</v>
      </c>
      <c r="C12" s="1">
        <v>5.5324</v>
      </c>
      <c r="D12" s="1">
        <v>8.6169</v>
      </c>
      <c r="E12" s="1"/>
      <c r="F12" s="1">
        <v>0.4475</v>
      </c>
      <c r="G12" s="1">
        <v>0.7627</v>
      </c>
      <c r="H12" s="1">
        <v>0.7866</v>
      </c>
      <c r="I12" s="1">
        <v>0.5808</v>
      </c>
      <c r="J12" s="1">
        <v>0.6961</v>
      </c>
      <c r="K12" s="1">
        <v>0.292</v>
      </c>
      <c r="L12" s="1">
        <v>0.7854</v>
      </c>
      <c r="M12" s="1">
        <v>0.5921</v>
      </c>
      <c r="N12" s="1">
        <v>0.69795</v>
      </c>
      <c r="O12" s="1">
        <v>0.6748</v>
      </c>
    </row>
    <row r="18">
      <c r="A18" s="10" t="s">
        <v>38</v>
      </c>
      <c r="C18" s="1" t="s">
        <v>2</v>
      </c>
      <c r="D18" s="1" t="s">
        <v>3</v>
      </c>
      <c r="F18" s="1" t="s">
        <v>31</v>
      </c>
      <c r="G18" s="1" t="s">
        <v>32</v>
      </c>
      <c r="H18" s="1" t="s">
        <v>6</v>
      </c>
      <c r="I18" s="1" t="s">
        <v>10</v>
      </c>
      <c r="J18" s="1" t="s">
        <v>11</v>
      </c>
      <c r="K18" s="1" t="s">
        <v>13</v>
      </c>
    </row>
    <row r="19">
      <c r="B19" s="47" t="s">
        <v>18</v>
      </c>
      <c r="C19" s="1">
        <v>6.614</v>
      </c>
      <c r="D19" s="1">
        <v>10.471</v>
      </c>
      <c r="F19" s="1">
        <v>0.436</v>
      </c>
      <c r="G19" s="1">
        <v>0.773</v>
      </c>
      <c r="H19" s="1">
        <v>0.725</v>
      </c>
      <c r="I19" s="1">
        <v>0.767</v>
      </c>
      <c r="J19" s="1">
        <v>0.686</v>
      </c>
      <c r="K19" s="4">
        <f>AVERAGE(F19,G19,H19,I19,J19)</f>
        <v>0.6774</v>
      </c>
    </row>
    <row r="21">
      <c r="A21" s="1" t="s">
        <v>33</v>
      </c>
    </row>
    <row r="22">
      <c r="B22" s="47" t="s">
        <v>18</v>
      </c>
      <c r="C22" s="1">
        <v>6.709</v>
      </c>
      <c r="D22" s="1">
        <v>11.538</v>
      </c>
      <c r="F22" s="1">
        <v>0.451</v>
      </c>
      <c r="G22" s="1">
        <v>0.779</v>
      </c>
      <c r="H22" s="1">
        <v>0.805</v>
      </c>
      <c r="I22" s="1">
        <v>0.778</v>
      </c>
      <c r="J22" s="1">
        <v>0.729</v>
      </c>
      <c r="K22" s="4">
        <f>AVERAGE(F22,G22,H22,I22,J22)</f>
        <v>0.7084</v>
      </c>
    </row>
    <row r="25">
      <c r="A25" s="1" t="s">
        <v>68</v>
      </c>
      <c r="C25" s="1" t="s">
        <v>2</v>
      </c>
      <c r="D25" s="1" t="s">
        <v>3</v>
      </c>
      <c r="F25" s="1" t="s">
        <v>31</v>
      </c>
      <c r="G25" s="1" t="s">
        <v>32</v>
      </c>
      <c r="H25" s="1" t="s">
        <v>6</v>
      </c>
      <c r="I25" s="1" t="s">
        <v>10</v>
      </c>
      <c r="J25" s="1" t="s">
        <v>11</v>
      </c>
      <c r="K25" s="1" t="s">
        <v>13</v>
      </c>
    </row>
    <row r="26">
      <c r="A26" s="1" t="s">
        <v>52</v>
      </c>
      <c r="B26" s="1" t="s">
        <v>35</v>
      </c>
      <c r="C26" s="1">
        <v>5.6796</v>
      </c>
      <c r="D26" s="1">
        <v>8.8829</v>
      </c>
      <c r="F26" s="1">
        <v>0.44454</v>
      </c>
      <c r="G26" s="1">
        <v>0.75884</v>
      </c>
      <c r="H26" s="1">
        <v>0.77156</v>
      </c>
      <c r="I26" s="1">
        <v>0.78564</v>
      </c>
      <c r="J26" s="1">
        <v>0.65704</v>
      </c>
      <c r="K26" s="4">
        <f t="shared" ref="K26:K27" si="3">AVERAGE(F26,G26,H26,I26,J26)</f>
        <v>0.683524</v>
      </c>
    </row>
    <row r="27">
      <c r="B27" s="1" t="s">
        <v>69</v>
      </c>
      <c r="C27" s="1">
        <v>5.639</v>
      </c>
      <c r="D27" s="1">
        <v>8.7398</v>
      </c>
      <c r="F27" s="1">
        <v>0.44966</v>
      </c>
      <c r="G27" s="1">
        <v>0.76347</v>
      </c>
      <c r="H27" s="1">
        <v>0.78593</v>
      </c>
      <c r="I27" s="1">
        <v>0.78672</v>
      </c>
      <c r="J27" s="1">
        <v>0.68953</v>
      </c>
      <c r="K27" s="4">
        <f t="shared" si="3"/>
        <v>0.695062</v>
      </c>
    </row>
    <row r="29">
      <c r="A29" s="46" t="s">
        <v>50</v>
      </c>
      <c r="B29" s="40" t="s">
        <v>16</v>
      </c>
      <c r="C29" s="42">
        <v>5.5591</v>
      </c>
      <c r="D29" s="42">
        <v>8.6096</v>
      </c>
      <c r="E29" s="42">
        <f t="shared" ref="E29:E30" si="4">AVERAGE(C29:D29)</f>
        <v>7.08435</v>
      </c>
      <c r="F29" s="42">
        <v>0.44881</v>
      </c>
      <c r="G29" s="42">
        <v>0.76431</v>
      </c>
      <c r="H29" s="42">
        <v>0.79847</v>
      </c>
      <c r="I29" s="42">
        <v>0.7432</v>
      </c>
      <c r="J29" s="42">
        <v>0.5884</v>
      </c>
      <c r="K29" s="42">
        <f>AVERAGE(F29,G29,H30,I29,J29)</f>
        <v>0.668144</v>
      </c>
      <c r="N29" s="42">
        <v>0.7332</v>
      </c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>
      <c r="A30" s="40"/>
      <c r="B30" s="40" t="s">
        <v>51</v>
      </c>
      <c r="C30" s="39">
        <v>5.5302</v>
      </c>
      <c r="D30" s="39">
        <v>8.4911</v>
      </c>
      <c r="E30" s="39">
        <f t="shared" si="4"/>
        <v>7.01065</v>
      </c>
      <c r="F30" s="39">
        <v>0.45392</v>
      </c>
      <c r="G30" s="39">
        <v>0.7664</v>
      </c>
      <c r="H30" s="42">
        <v>0.796</v>
      </c>
      <c r="I30" s="39">
        <v>0.7884</v>
      </c>
      <c r="J30" s="39">
        <v>0.6534</v>
      </c>
      <c r="K30" s="39">
        <f>AVERAGE(F30,G30,H29,I30,J30)</f>
        <v>0.692118</v>
      </c>
      <c r="N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2</v>
      </c>
      <c r="C1" s="1" t="s">
        <v>3</v>
      </c>
      <c r="E1" s="1" t="s">
        <v>10</v>
      </c>
      <c r="F1" s="1" t="s">
        <v>11</v>
      </c>
    </row>
    <row r="2">
      <c r="A2" s="1" t="s">
        <v>70</v>
      </c>
    </row>
    <row r="3">
      <c r="A3" s="1" t="s">
        <v>19</v>
      </c>
    </row>
    <row r="4">
      <c r="A4" s="1" t="s">
        <v>71</v>
      </c>
      <c r="B4" s="1">
        <v>4.975</v>
      </c>
      <c r="C4" s="1">
        <v>7.727</v>
      </c>
      <c r="E4" s="90">
        <v>0.797</v>
      </c>
      <c r="F4" s="91">
        <v>0.671</v>
      </c>
    </row>
    <row r="5">
      <c r="A5" s="1" t="s">
        <v>72</v>
      </c>
      <c r="B5" s="1">
        <v>4.969</v>
      </c>
      <c r="C5" s="1">
        <v>7.717</v>
      </c>
      <c r="E5" s="1">
        <v>0.798</v>
      </c>
      <c r="F5" s="1">
        <v>0.682</v>
      </c>
    </row>
    <row r="6">
      <c r="A6" s="1" t="s">
        <v>73</v>
      </c>
      <c r="B6" s="1">
        <v>4.967</v>
      </c>
      <c r="C6" s="1">
        <v>7.714</v>
      </c>
      <c r="E6" s="1">
        <v>0.798</v>
      </c>
      <c r="F6" s="1">
        <v>0.685</v>
      </c>
    </row>
    <row r="7">
      <c r="A7" s="1" t="s">
        <v>74</v>
      </c>
      <c r="B7" s="1">
        <v>4.966</v>
      </c>
      <c r="C7" s="1">
        <v>7.713</v>
      </c>
      <c r="E7" s="1">
        <v>0.801</v>
      </c>
      <c r="F7" s="1">
        <v>0.687</v>
      </c>
    </row>
    <row r="8">
      <c r="A8" s="1" t="s">
        <v>75</v>
      </c>
      <c r="B8" s="8">
        <v>4.965</v>
      </c>
      <c r="C8" s="8">
        <v>7.711</v>
      </c>
      <c r="E8" s="8">
        <v>0.802</v>
      </c>
      <c r="F8" s="1">
        <v>0.69</v>
      </c>
    </row>
    <row r="9">
      <c r="A9" s="1" t="s">
        <v>76</v>
      </c>
      <c r="B9" s="1">
        <v>4.966</v>
      </c>
      <c r="C9" s="1">
        <v>7.712</v>
      </c>
      <c r="E9" s="1">
        <v>0.799</v>
      </c>
      <c r="F9" s="8">
        <v>0.693</v>
      </c>
    </row>
    <row r="12">
      <c r="B12" s="1" t="s">
        <v>2</v>
      </c>
      <c r="C12" s="1" t="s">
        <v>3</v>
      </c>
      <c r="E12" s="1" t="s">
        <v>10</v>
      </c>
      <c r="F12" s="1" t="s">
        <v>11</v>
      </c>
    </row>
    <row r="13">
      <c r="A13" s="1" t="s">
        <v>70</v>
      </c>
    </row>
    <row r="14">
      <c r="A14" s="1" t="s">
        <v>25</v>
      </c>
    </row>
    <row r="15">
      <c r="A15" s="1" t="s">
        <v>71</v>
      </c>
      <c r="B15" s="1">
        <v>5.072</v>
      </c>
      <c r="C15" s="1">
        <v>7.854</v>
      </c>
      <c r="E15" s="1">
        <v>0.794</v>
      </c>
      <c r="F15" s="1">
        <v>0.66</v>
      </c>
    </row>
    <row r="16">
      <c r="A16" s="1" t="s">
        <v>72</v>
      </c>
      <c r="B16" s="1">
        <v>5.071</v>
      </c>
      <c r="C16" s="90">
        <v>7.852</v>
      </c>
      <c r="E16" s="1">
        <v>0.794</v>
      </c>
      <c r="F16" s="1">
        <v>0.663</v>
      </c>
    </row>
    <row r="17">
      <c r="A17" s="1" t="s">
        <v>73</v>
      </c>
      <c r="B17" s="1">
        <v>5.07</v>
      </c>
      <c r="C17" s="90">
        <v>7.85</v>
      </c>
      <c r="E17" s="1">
        <v>0.795</v>
      </c>
      <c r="F17" s="1">
        <v>0.665</v>
      </c>
    </row>
    <row r="18">
      <c r="A18" s="1" t="s">
        <v>74</v>
      </c>
      <c r="B18" s="1">
        <v>5.068</v>
      </c>
      <c r="C18" s="90">
        <v>7.848</v>
      </c>
      <c r="E18" s="1">
        <v>0.796</v>
      </c>
      <c r="F18" s="1">
        <v>0.67</v>
      </c>
    </row>
    <row r="19">
      <c r="A19" s="1" t="s">
        <v>75</v>
      </c>
      <c r="B19" s="1">
        <v>5.067</v>
      </c>
      <c r="C19" s="91">
        <v>7.848</v>
      </c>
      <c r="E19" s="8">
        <v>0.799</v>
      </c>
      <c r="F19" s="8">
        <v>0.675</v>
      </c>
    </row>
    <row r="20">
      <c r="A20" s="1" t="s">
        <v>76</v>
      </c>
      <c r="B20" s="8">
        <v>5.066</v>
      </c>
      <c r="C20" s="8">
        <v>7.847</v>
      </c>
      <c r="E20" s="1">
        <v>0.797</v>
      </c>
      <c r="F20" s="8">
        <v>0.675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38</v>
      </c>
      <c r="C1" s="1" t="s">
        <v>2</v>
      </c>
      <c r="D1" s="1" t="s">
        <v>3</v>
      </c>
      <c r="F1" s="1" t="s">
        <v>31</v>
      </c>
      <c r="G1" s="1" t="s">
        <v>32</v>
      </c>
      <c r="H1" s="1" t="s">
        <v>6</v>
      </c>
      <c r="I1" s="1" t="s">
        <v>10</v>
      </c>
      <c r="J1" s="1" t="s">
        <v>11</v>
      </c>
      <c r="K1" s="1" t="s">
        <v>13</v>
      </c>
    </row>
    <row r="2">
      <c r="A2" s="1" t="s">
        <v>22</v>
      </c>
      <c r="B2" s="47" t="s">
        <v>18</v>
      </c>
      <c r="C2" s="1">
        <v>6.614</v>
      </c>
      <c r="D2" s="1">
        <v>10.471</v>
      </c>
      <c r="F2" s="1">
        <v>0.436</v>
      </c>
      <c r="G2" s="1">
        <v>0.773</v>
      </c>
      <c r="H2" s="1">
        <v>0.725</v>
      </c>
      <c r="I2" s="1">
        <v>0.767</v>
      </c>
      <c r="J2" s="1">
        <v>0.686</v>
      </c>
      <c r="K2" s="4">
        <f>AVERAGE(F2,G2,H2,I2,J2)</f>
        <v>0.6774</v>
      </c>
    </row>
    <row r="3">
      <c r="L3" s="15"/>
      <c r="M3" s="15"/>
      <c r="N3" s="52"/>
      <c r="O3" s="15"/>
    </row>
    <row r="4">
      <c r="A4" s="1" t="s">
        <v>33</v>
      </c>
      <c r="L4" s="17"/>
      <c r="M4" s="17"/>
      <c r="N4" s="52"/>
      <c r="O4" s="17"/>
    </row>
    <row r="5">
      <c r="A5" s="1" t="s">
        <v>22</v>
      </c>
      <c r="B5" s="47" t="s">
        <v>18</v>
      </c>
      <c r="C5" s="1">
        <v>6.709</v>
      </c>
      <c r="D5" s="1">
        <v>11.538</v>
      </c>
      <c r="F5" s="1">
        <v>0.451</v>
      </c>
      <c r="G5" s="1">
        <v>0.779</v>
      </c>
      <c r="H5" s="1">
        <v>0.805</v>
      </c>
      <c r="I5" s="1">
        <v>0.778</v>
      </c>
      <c r="J5" s="1">
        <v>0.729</v>
      </c>
      <c r="K5" s="4">
        <f>AVERAGE(F5,G5,H5,I5,J5)</f>
        <v>0.7084</v>
      </c>
    </row>
    <row r="6">
      <c r="D6" s="8"/>
    </row>
    <row r="9">
      <c r="B9" s="10"/>
      <c r="C9" s="15"/>
      <c r="D9" s="15"/>
      <c r="E9" s="14"/>
      <c r="F9" s="17"/>
      <c r="G9" s="15"/>
      <c r="H9" s="15"/>
      <c r="I9" s="52"/>
      <c r="J9" s="52"/>
      <c r="K9" s="52"/>
      <c r="L9" s="15"/>
      <c r="M9" s="15"/>
      <c r="N9" s="52"/>
      <c r="O9" s="15"/>
    </row>
    <row r="10">
      <c r="C10" s="17"/>
      <c r="D10" s="17"/>
      <c r="E10" s="14"/>
      <c r="F10" s="15"/>
      <c r="G10" s="17"/>
      <c r="H10" s="17"/>
      <c r="I10" s="52"/>
      <c r="J10" s="62"/>
      <c r="K10" s="52"/>
      <c r="L10" s="17"/>
      <c r="M10" s="17"/>
      <c r="N10" s="52"/>
      <c r="O10" s="17"/>
    </row>
    <row r="18">
      <c r="A18" s="10"/>
    </row>
    <row r="19">
      <c r="B19" s="40"/>
    </row>
    <row r="22">
      <c r="B22" s="4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</cols>
  <sheetData>
    <row r="1">
      <c r="A1" s="1" t="s">
        <v>0</v>
      </c>
      <c r="B1" s="1" t="s">
        <v>1</v>
      </c>
      <c r="I1" s="2"/>
      <c r="J1" s="2"/>
      <c r="K1" s="2"/>
      <c r="N1" s="2"/>
    </row>
    <row r="2">
      <c r="C2" s="1" t="s">
        <v>2</v>
      </c>
      <c r="D2" s="1" t="s">
        <v>3</v>
      </c>
      <c r="E2" s="1" t="s">
        <v>13</v>
      </c>
      <c r="F2" s="1" t="s">
        <v>4</v>
      </c>
      <c r="G2" s="1" t="s">
        <v>5</v>
      </c>
      <c r="H2" s="1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1" t="s">
        <v>11</v>
      </c>
      <c r="N2" s="3" t="s">
        <v>12</v>
      </c>
      <c r="O2" s="1" t="s">
        <v>13</v>
      </c>
    </row>
    <row r="3">
      <c r="B3" s="1" t="s">
        <v>14</v>
      </c>
      <c r="C3" s="1">
        <v>5.442</v>
      </c>
      <c r="D3" s="1">
        <v>8.346</v>
      </c>
      <c r="E3" s="4">
        <f t="shared" ref="E3:E7" si="1">AVERAGE(C3,D3)</f>
        <v>6.894</v>
      </c>
      <c r="F3" s="1">
        <v>0.505</v>
      </c>
      <c r="G3" s="1">
        <v>0.8</v>
      </c>
      <c r="H3" s="1">
        <v>0.813</v>
      </c>
      <c r="I3" s="3">
        <v>0.601</v>
      </c>
      <c r="J3" s="3">
        <v>0.76</v>
      </c>
      <c r="K3" s="3">
        <v>0.348</v>
      </c>
      <c r="L3" s="1">
        <v>0.796</v>
      </c>
      <c r="M3" s="1">
        <v>0.696</v>
      </c>
      <c r="N3" s="3">
        <v>0.726</v>
      </c>
      <c r="O3" s="4">
        <f t="shared" ref="O3:O7" si="2">AVERAGE(F3,G3,H3,L3,M3)</f>
        <v>0.722</v>
      </c>
    </row>
    <row r="4">
      <c r="A4" s="10" t="s">
        <v>38</v>
      </c>
      <c r="B4" s="10" t="s">
        <v>19</v>
      </c>
      <c r="C4" s="1">
        <v>5.91</v>
      </c>
      <c r="D4" s="1">
        <v>9.24</v>
      </c>
      <c r="E4" s="4">
        <f t="shared" si="1"/>
        <v>7.575</v>
      </c>
      <c r="F4" s="1">
        <v>0.488</v>
      </c>
      <c r="G4" s="1">
        <v>0.784</v>
      </c>
      <c r="H4" s="1">
        <v>0.795</v>
      </c>
      <c r="I4" s="3">
        <v>0.591</v>
      </c>
      <c r="J4" s="3">
        <v>0.747</v>
      </c>
      <c r="K4" s="3">
        <v>0.346</v>
      </c>
      <c r="L4" s="1">
        <v>0.791</v>
      </c>
      <c r="M4" s="1">
        <v>0.646</v>
      </c>
      <c r="N4" s="3">
        <v>0.727</v>
      </c>
      <c r="O4" s="4">
        <f t="shared" si="2"/>
        <v>0.7008</v>
      </c>
    </row>
    <row r="5">
      <c r="B5" s="1" t="s">
        <v>35</v>
      </c>
      <c r="C5" s="5">
        <v>5.9572</v>
      </c>
      <c r="D5" s="1">
        <v>9.5846</v>
      </c>
      <c r="E5" s="4">
        <f t="shared" si="1"/>
        <v>7.7709</v>
      </c>
      <c r="F5" s="1">
        <v>0.4889</v>
      </c>
      <c r="G5" s="1">
        <v>0.7934</v>
      </c>
      <c r="H5" s="1">
        <v>0.8104</v>
      </c>
      <c r="I5" s="1">
        <v>0.595</v>
      </c>
      <c r="J5" s="1">
        <v>0.7357</v>
      </c>
      <c r="K5" s="1">
        <v>0.348</v>
      </c>
      <c r="L5" s="8">
        <v>0.784</v>
      </c>
      <c r="M5" s="1">
        <v>0.628</v>
      </c>
      <c r="N5" s="1">
        <v>0.7111</v>
      </c>
      <c r="O5" s="4">
        <f t="shared" si="2"/>
        <v>0.70094</v>
      </c>
    </row>
    <row r="6">
      <c r="B6" s="1" t="s">
        <v>39</v>
      </c>
      <c r="C6" s="8">
        <v>5.9236</v>
      </c>
      <c r="D6" s="1">
        <v>9.2523</v>
      </c>
      <c r="E6" s="4">
        <f t="shared" si="1"/>
        <v>7.58795</v>
      </c>
      <c r="F6" s="8">
        <v>0.5</v>
      </c>
      <c r="G6" s="8">
        <v>0.794</v>
      </c>
      <c r="H6" s="8">
        <v>0.8147</v>
      </c>
      <c r="I6" s="1">
        <v>0.5954</v>
      </c>
      <c r="J6" s="1">
        <v>0.735</v>
      </c>
      <c r="K6" s="1">
        <v>0.342</v>
      </c>
      <c r="L6" s="1">
        <v>0.7818</v>
      </c>
      <c r="M6" s="8">
        <v>0.6679</v>
      </c>
      <c r="N6" s="1">
        <v>0.7159</v>
      </c>
      <c r="O6" s="7">
        <f t="shared" si="2"/>
        <v>0.71168</v>
      </c>
      <c r="P6" s="1" t="s">
        <v>77</v>
      </c>
    </row>
    <row r="7">
      <c r="B7" s="9" t="s">
        <v>18</v>
      </c>
      <c r="C7" s="1">
        <v>5.9711</v>
      </c>
      <c r="D7" s="1">
        <v>9.3279</v>
      </c>
      <c r="E7" s="4">
        <f t="shared" si="1"/>
        <v>7.6495</v>
      </c>
      <c r="F7" s="1">
        <v>0.49061</v>
      </c>
      <c r="G7" s="1">
        <v>0.79545</v>
      </c>
      <c r="H7" s="1">
        <v>0.81315</v>
      </c>
      <c r="L7" s="1">
        <v>0.7802</v>
      </c>
      <c r="M7" s="1">
        <v>0.63899</v>
      </c>
      <c r="O7" s="7">
        <f t="shared" si="2"/>
        <v>0.70368</v>
      </c>
    </row>
    <row r="9">
      <c r="B9" s="1" t="s">
        <v>78</v>
      </c>
      <c r="C9" s="1">
        <v>4.845</v>
      </c>
      <c r="D9" s="1">
        <v>7.535</v>
      </c>
      <c r="E9" s="4">
        <f t="shared" ref="E9:E13" si="3">AVERAGE(C9,D9)</f>
        <v>6.19</v>
      </c>
      <c r="F9" s="1">
        <v>0.509</v>
      </c>
      <c r="G9" s="1">
        <v>0.802</v>
      </c>
      <c r="H9" s="1">
        <v>0.837</v>
      </c>
      <c r="I9" s="3">
        <v>0.611</v>
      </c>
      <c r="J9" s="3">
        <v>0.753</v>
      </c>
      <c r="K9" s="3">
        <v>0.352</v>
      </c>
      <c r="L9" s="1">
        <v>0.8</v>
      </c>
      <c r="M9" s="1">
        <v>0.686</v>
      </c>
      <c r="N9" s="3">
        <v>0.743</v>
      </c>
      <c r="O9" s="4">
        <f t="shared" ref="O9:O13" si="4">AVERAGE(F9,G9,H9,L9,M9)</f>
        <v>0.7268</v>
      </c>
    </row>
    <row r="10">
      <c r="A10" s="1" t="s">
        <v>15</v>
      </c>
      <c r="B10" s="1" t="s">
        <v>16</v>
      </c>
      <c r="C10" s="5">
        <v>4.9917</v>
      </c>
      <c r="D10" s="5">
        <v>7.8047</v>
      </c>
      <c r="E10" s="4">
        <f t="shared" si="3"/>
        <v>6.3982</v>
      </c>
      <c r="F10" s="1">
        <v>0.4761</v>
      </c>
      <c r="G10" s="1">
        <v>0.7875</v>
      </c>
      <c r="H10" s="1">
        <v>0.8248</v>
      </c>
      <c r="I10" s="1">
        <v>0.6075</v>
      </c>
      <c r="J10" s="1">
        <v>0.7372</v>
      </c>
      <c r="K10" s="1">
        <v>0.352</v>
      </c>
      <c r="L10" s="1">
        <v>0.7992</v>
      </c>
      <c r="M10" s="1">
        <v>0.6643</v>
      </c>
      <c r="N10" s="1">
        <v>0.7332</v>
      </c>
      <c r="O10" s="4">
        <f t="shared" si="4"/>
        <v>0.71038</v>
      </c>
    </row>
    <row r="11">
      <c r="A11" s="92"/>
      <c r="B11" s="93" t="s">
        <v>57</v>
      </c>
      <c r="C11" s="94">
        <v>4.9696</v>
      </c>
      <c r="D11" s="94">
        <v>7.7841</v>
      </c>
      <c r="E11" s="95">
        <f t="shared" si="3"/>
        <v>6.37685</v>
      </c>
      <c r="F11" s="96">
        <v>0.4983</v>
      </c>
      <c r="G11" s="96">
        <v>0.7942</v>
      </c>
      <c r="H11" s="96">
        <v>0.8324</v>
      </c>
      <c r="I11" s="93">
        <v>0.607</v>
      </c>
      <c r="J11" s="93">
        <v>0.7402</v>
      </c>
      <c r="K11" s="93">
        <v>0.35</v>
      </c>
      <c r="L11" s="96">
        <v>0.8014</v>
      </c>
      <c r="M11" s="96">
        <v>0.6823</v>
      </c>
      <c r="N11" s="93">
        <v>0.7356</v>
      </c>
      <c r="O11" s="95">
        <f t="shared" si="4"/>
        <v>0.72172</v>
      </c>
      <c r="P11" s="93"/>
      <c r="Q11" s="93" t="s">
        <v>79</v>
      </c>
      <c r="R11" s="92"/>
      <c r="S11" s="92"/>
      <c r="T11" s="92"/>
      <c r="U11" s="92"/>
      <c r="V11" s="92"/>
      <c r="W11" s="92"/>
      <c r="X11" s="92"/>
      <c r="Y11" s="92"/>
      <c r="Z11" s="92"/>
      <c r="AA11" s="92"/>
    </row>
    <row r="12">
      <c r="B12" s="1" t="s">
        <v>17</v>
      </c>
      <c r="C12" s="6">
        <v>4.9704</v>
      </c>
      <c r="D12" s="6">
        <v>7.7167</v>
      </c>
      <c r="E12" s="7">
        <f t="shared" si="3"/>
        <v>6.34355</v>
      </c>
      <c r="F12" s="8">
        <v>0.4804</v>
      </c>
      <c r="G12" s="8">
        <v>0.7934</v>
      </c>
      <c r="H12" s="1">
        <v>0.8202</v>
      </c>
      <c r="I12" s="1"/>
      <c r="J12" s="1"/>
      <c r="K12" s="1"/>
      <c r="L12" s="8">
        <v>0.8014</v>
      </c>
      <c r="M12" s="8">
        <v>0.6751</v>
      </c>
      <c r="N12" s="1"/>
      <c r="O12" s="7">
        <f t="shared" si="4"/>
        <v>0.7141</v>
      </c>
      <c r="P12" s="1"/>
      <c r="Q12" s="1"/>
    </row>
    <row r="13">
      <c r="B13" s="35" t="s">
        <v>18</v>
      </c>
      <c r="C13" s="1">
        <v>4.9948</v>
      </c>
      <c r="D13" s="1">
        <v>7.738</v>
      </c>
      <c r="E13" s="7">
        <f t="shared" si="3"/>
        <v>6.3664</v>
      </c>
      <c r="F13" s="1">
        <v>0.4744</v>
      </c>
      <c r="G13" s="1">
        <v>0.78872</v>
      </c>
      <c r="H13" s="8">
        <v>0.82752</v>
      </c>
      <c r="L13" s="1">
        <v>0.79869</v>
      </c>
      <c r="M13" s="1">
        <v>0.66065</v>
      </c>
      <c r="O13" s="7">
        <f t="shared" si="4"/>
        <v>0.709996</v>
      </c>
    </row>
    <row r="15">
      <c r="B15" s="1" t="s">
        <v>78</v>
      </c>
      <c r="C15" s="1">
        <v>5.522</v>
      </c>
      <c r="D15" s="1">
        <v>8.409</v>
      </c>
      <c r="E15" s="4">
        <f t="shared" ref="E15:E19" si="5">AVERAGE(C15,D15)</f>
        <v>6.9655</v>
      </c>
      <c r="F15" s="1">
        <v>0.522</v>
      </c>
      <c r="G15" s="1">
        <v>0.822</v>
      </c>
      <c r="H15" s="1">
        <v>0.83</v>
      </c>
      <c r="I15" s="3">
        <v>0.607</v>
      </c>
      <c r="J15" s="3">
        <v>0.751</v>
      </c>
      <c r="K15" s="3">
        <v>0.34</v>
      </c>
      <c r="L15" s="1">
        <v>0.791</v>
      </c>
      <c r="M15" s="1">
        <v>0.711</v>
      </c>
      <c r="N15" s="3">
        <v>0.746</v>
      </c>
      <c r="O15" s="4">
        <f>AVERAGE(F15,G15,H15,L15,M15)</f>
        <v>0.7352</v>
      </c>
    </row>
    <row r="16">
      <c r="A16" s="10" t="s">
        <v>27</v>
      </c>
      <c r="B16" s="1" t="s">
        <v>16</v>
      </c>
      <c r="C16" s="5">
        <v>6.0248</v>
      </c>
      <c r="D16" s="5">
        <v>9.4397</v>
      </c>
      <c r="E16" s="4">
        <f t="shared" si="5"/>
        <v>7.73225</v>
      </c>
      <c r="F16" s="1">
        <v>0.48976</v>
      </c>
      <c r="G16" s="1">
        <v>0.8064</v>
      </c>
      <c r="H16" s="1">
        <v>0.81896</v>
      </c>
      <c r="L16" s="1">
        <v>0.78346</v>
      </c>
      <c r="M16" s="1">
        <v>0.67509</v>
      </c>
      <c r="O16" s="1">
        <v>0.71473</v>
      </c>
    </row>
    <row r="17">
      <c r="A17" s="92"/>
      <c r="B17" s="93" t="s">
        <v>57</v>
      </c>
      <c r="C17" s="97">
        <v>5.9663</v>
      </c>
      <c r="D17" s="97">
        <v>9.3632</v>
      </c>
      <c r="E17" s="92">
        <f t="shared" si="5"/>
        <v>7.66475</v>
      </c>
      <c r="F17" s="93">
        <v>0.5</v>
      </c>
      <c r="G17" s="93">
        <v>0.80682</v>
      </c>
      <c r="H17" s="93">
        <v>0.81315</v>
      </c>
      <c r="I17" s="92"/>
      <c r="J17" s="92"/>
      <c r="K17" s="92"/>
      <c r="L17" s="93">
        <v>0.78672</v>
      </c>
      <c r="M17" s="93">
        <v>0.68231</v>
      </c>
      <c r="N17" s="92"/>
      <c r="O17" s="93">
        <v>0.7178</v>
      </c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>
      <c r="B18" s="1" t="s">
        <v>28</v>
      </c>
      <c r="C18" s="8">
        <v>5.9727</v>
      </c>
      <c r="D18" s="8">
        <v>9.3692</v>
      </c>
      <c r="E18" s="7">
        <f t="shared" si="5"/>
        <v>7.67095</v>
      </c>
      <c r="F18" s="8">
        <v>0.50512</v>
      </c>
      <c r="G18" s="8">
        <v>0.80682</v>
      </c>
      <c r="H18" s="1">
        <v>0.81284</v>
      </c>
      <c r="L18" s="8">
        <v>0.78672</v>
      </c>
      <c r="M18" s="8">
        <v>0.69314</v>
      </c>
      <c r="O18" s="7">
        <f t="shared" ref="O18:O19" si="6">AVERAGE(F18,G18,H18,L18,M18)</f>
        <v>0.720928</v>
      </c>
      <c r="P18" s="1" t="s">
        <v>77</v>
      </c>
      <c r="Q18" s="1" t="s">
        <v>80</v>
      </c>
    </row>
    <row r="19">
      <c r="B19" s="9" t="s">
        <v>18</v>
      </c>
      <c r="C19" s="1">
        <v>6.0815</v>
      </c>
      <c r="D19" s="1">
        <v>9.6308</v>
      </c>
      <c r="E19" s="4">
        <f t="shared" si="5"/>
        <v>7.85615</v>
      </c>
      <c r="F19" s="1">
        <v>0.487201</v>
      </c>
      <c r="G19" s="1">
        <v>0.8009</v>
      </c>
      <c r="H19" s="8">
        <v>0.8275</v>
      </c>
      <c r="L19" s="1">
        <v>0.7845</v>
      </c>
      <c r="M19" s="1">
        <v>0.6715</v>
      </c>
      <c r="O19" s="7">
        <f t="shared" si="6"/>
        <v>0.7143202</v>
      </c>
      <c r="Q19" s="1" t="s">
        <v>81</v>
      </c>
    </row>
    <row r="22">
      <c r="B22" s="1" t="s">
        <v>78</v>
      </c>
      <c r="C22" s="1">
        <v>6.0839</v>
      </c>
      <c r="D22" s="1">
        <v>10.8166</v>
      </c>
      <c r="E22" s="4">
        <f t="shared" ref="E22:E26" si="7">AVERAGE(C22,D22)</f>
        <v>8.45025</v>
      </c>
      <c r="F22" s="1">
        <v>0.477</v>
      </c>
      <c r="G22" s="1">
        <v>0.804</v>
      </c>
      <c r="H22" s="1">
        <v>0.846</v>
      </c>
      <c r="I22" s="3">
        <v>0.6</v>
      </c>
      <c r="J22" s="3">
        <v>0.719</v>
      </c>
      <c r="K22" s="3">
        <v>0.332</v>
      </c>
      <c r="L22" s="1">
        <v>0.787</v>
      </c>
      <c r="M22" s="1">
        <v>0.815</v>
      </c>
      <c r="N22" s="3">
        <v>0.73</v>
      </c>
      <c r="O22" s="4">
        <f>AVERAGE(F22,G22,H22,L22,M22)</f>
        <v>0.7458</v>
      </c>
    </row>
    <row r="23">
      <c r="A23" s="10" t="s">
        <v>33</v>
      </c>
      <c r="B23" s="1" t="s">
        <v>16</v>
      </c>
      <c r="C23" s="5">
        <v>6.3893</v>
      </c>
      <c r="D23" s="5">
        <v>11.2961</v>
      </c>
      <c r="E23" s="4">
        <f t="shared" si="7"/>
        <v>8.8427</v>
      </c>
      <c r="F23" s="1">
        <v>0.47424</v>
      </c>
      <c r="G23" s="8">
        <v>0.80387</v>
      </c>
      <c r="H23" s="1">
        <v>0.83547</v>
      </c>
      <c r="L23" s="1">
        <v>0.7851</v>
      </c>
      <c r="M23" s="1">
        <v>0.81227</v>
      </c>
      <c r="O23" s="1">
        <v>0.74272</v>
      </c>
    </row>
    <row r="24">
      <c r="A24" s="92"/>
      <c r="B24" s="93" t="s">
        <v>57</v>
      </c>
      <c r="C24" s="97">
        <v>6.3446</v>
      </c>
      <c r="D24" s="97">
        <v>11.1867</v>
      </c>
      <c r="E24" s="92">
        <f t="shared" si="7"/>
        <v>8.76565</v>
      </c>
      <c r="F24" s="96">
        <v>0.47526</v>
      </c>
      <c r="G24" s="93">
        <v>0.79251</v>
      </c>
      <c r="H24" s="96">
        <v>0.83731</v>
      </c>
      <c r="I24" s="92"/>
      <c r="J24" s="92"/>
      <c r="K24" s="92"/>
      <c r="L24" s="93">
        <v>0.7846</v>
      </c>
      <c r="M24" s="93">
        <v>0.82671</v>
      </c>
      <c r="N24" s="92"/>
      <c r="O24" s="95">
        <f>AVERAGE(F24,G24,H24,L24,M24)</f>
        <v>0.743278</v>
      </c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</row>
    <row r="25">
      <c r="B25" s="1" t="s">
        <v>34</v>
      </c>
      <c r="C25" s="8">
        <v>6.3423</v>
      </c>
      <c r="D25" s="8">
        <v>11.1871</v>
      </c>
      <c r="E25" s="7">
        <f t="shared" si="7"/>
        <v>8.7647</v>
      </c>
      <c r="F25" s="8">
        <v>0.47526</v>
      </c>
      <c r="G25" s="1">
        <v>0.7967</v>
      </c>
      <c r="H25" s="8">
        <v>0.8379</v>
      </c>
      <c r="L25" s="8">
        <v>0.78672</v>
      </c>
      <c r="M25" s="8">
        <v>0.8267</v>
      </c>
      <c r="O25" s="4">
        <f>AVERAGE(F25,G25,H25,L23,M25)</f>
        <v>0.744332</v>
      </c>
      <c r="Q25" s="1" t="s">
        <v>81</v>
      </c>
    </row>
    <row r="26">
      <c r="B26" s="9" t="s">
        <v>18</v>
      </c>
      <c r="C26" s="1">
        <v>6.3405</v>
      </c>
      <c r="D26" s="1">
        <v>11.2008</v>
      </c>
      <c r="E26" s="4">
        <f t="shared" si="7"/>
        <v>8.77065</v>
      </c>
      <c r="F26" s="1">
        <v>0.46502</v>
      </c>
      <c r="G26" s="1">
        <v>0.79377</v>
      </c>
      <c r="H26" s="1">
        <v>0.83211</v>
      </c>
      <c r="L26" s="1">
        <v>0.784</v>
      </c>
      <c r="M26" s="1">
        <v>0.83394</v>
      </c>
      <c r="O26" s="4">
        <f>AVERAGE(F26,G26,H26,L26,M26)</f>
        <v>0.741768</v>
      </c>
      <c r="Q26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</cols>
  <sheetData>
    <row r="1">
      <c r="A1" s="1" t="s">
        <v>0</v>
      </c>
      <c r="B1" s="1" t="s">
        <v>1</v>
      </c>
      <c r="I1" s="2"/>
      <c r="J1" s="2"/>
      <c r="K1" s="2"/>
      <c r="N1" s="2"/>
    </row>
    <row r="2">
      <c r="C2" s="1" t="s">
        <v>2</v>
      </c>
      <c r="D2" s="1" t="s">
        <v>3</v>
      </c>
      <c r="E2" s="1" t="s">
        <v>13</v>
      </c>
      <c r="F2" s="1" t="s">
        <v>4</v>
      </c>
      <c r="G2" s="1" t="s">
        <v>5</v>
      </c>
      <c r="H2" s="1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1" t="s">
        <v>11</v>
      </c>
      <c r="N2" s="3" t="s">
        <v>12</v>
      </c>
      <c r="O2" s="1" t="s">
        <v>13</v>
      </c>
    </row>
    <row r="3">
      <c r="B3" s="1" t="s">
        <v>14</v>
      </c>
      <c r="C3" s="1">
        <v>5.442</v>
      </c>
      <c r="D3" s="1">
        <v>8.346</v>
      </c>
      <c r="E3" s="4">
        <f t="shared" ref="E3:E6" si="1">AVERAGE(C3:D3)</f>
        <v>6.894</v>
      </c>
      <c r="F3" s="1">
        <v>0.505</v>
      </c>
      <c r="G3" s="1">
        <v>0.8</v>
      </c>
      <c r="H3" s="1">
        <v>0.813</v>
      </c>
      <c r="I3" s="3">
        <v>0.601</v>
      </c>
      <c r="J3" s="3">
        <v>0.76</v>
      </c>
      <c r="K3" s="3">
        <v>0.348</v>
      </c>
      <c r="L3" s="1">
        <v>0.796</v>
      </c>
      <c r="M3" s="1">
        <v>0.696</v>
      </c>
      <c r="N3" s="3">
        <v>0.726</v>
      </c>
      <c r="O3" s="4">
        <f t="shared" ref="O3:O6" si="2">AVERAGE(F3,G3,H3,L3,M3)</f>
        <v>0.722</v>
      </c>
    </row>
    <row r="4">
      <c r="A4" s="10" t="s">
        <v>38</v>
      </c>
      <c r="B4" s="1" t="s">
        <v>55</v>
      </c>
      <c r="C4" s="5">
        <v>10.9466</v>
      </c>
      <c r="D4" s="1">
        <v>18.0442</v>
      </c>
      <c r="E4" s="1">
        <f t="shared" si="1"/>
        <v>14.4954</v>
      </c>
      <c r="F4" s="1">
        <v>0.3857</v>
      </c>
      <c r="G4" s="1">
        <v>0.649</v>
      </c>
      <c r="H4" s="8">
        <v>0.7174</v>
      </c>
      <c r="I4" s="1">
        <v>0.5148</v>
      </c>
      <c r="J4" s="8">
        <v>0.665</v>
      </c>
      <c r="K4" s="1">
        <v>0.298</v>
      </c>
      <c r="L4" s="1">
        <v>0.7432</v>
      </c>
      <c r="M4" s="8">
        <v>0.5884</v>
      </c>
      <c r="N4" s="3">
        <v>0.6796</v>
      </c>
      <c r="O4" s="4">
        <f t="shared" si="2"/>
        <v>0.61674</v>
      </c>
    </row>
    <row r="5">
      <c r="B5" s="1" t="s">
        <v>58</v>
      </c>
      <c r="C5" s="5">
        <v>9.1052</v>
      </c>
      <c r="D5" s="5">
        <v>15.251</v>
      </c>
      <c r="E5" s="8">
        <f t="shared" si="1"/>
        <v>12.1781</v>
      </c>
      <c r="F5" s="8">
        <v>0.4056</v>
      </c>
      <c r="G5" s="8">
        <v>0.6702</v>
      </c>
      <c r="H5" s="1">
        <v>0.7065</v>
      </c>
      <c r="I5" s="8"/>
      <c r="J5" s="1"/>
      <c r="K5" s="8"/>
      <c r="L5" s="8">
        <v>0.7508</v>
      </c>
      <c r="M5" s="8">
        <v>0.611</v>
      </c>
      <c r="N5" s="8"/>
      <c r="O5" s="7">
        <f t="shared" si="2"/>
        <v>0.62882</v>
      </c>
      <c r="P5" s="1" t="s">
        <v>77</v>
      </c>
      <c r="Q5" s="1"/>
      <c r="R5" s="1"/>
    </row>
    <row r="6">
      <c r="B6" s="9" t="s">
        <v>18</v>
      </c>
      <c r="C6" s="1">
        <v>10.5018</v>
      </c>
      <c r="D6" s="1">
        <v>17.7424</v>
      </c>
      <c r="E6" s="1">
        <f t="shared" si="1"/>
        <v>14.1221</v>
      </c>
      <c r="F6" s="1">
        <v>0.34898</v>
      </c>
      <c r="G6" s="1">
        <v>0.64899</v>
      </c>
      <c r="H6" s="1">
        <v>0.68838</v>
      </c>
      <c r="L6" s="1">
        <v>0.71382</v>
      </c>
      <c r="M6" s="1">
        <v>0.55957</v>
      </c>
      <c r="O6" s="4">
        <f t="shared" si="2"/>
        <v>0.591948</v>
      </c>
    </row>
    <row r="9">
      <c r="B9" s="1" t="s">
        <v>78</v>
      </c>
      <c r="C9" s="1">
        <v>4.845</v>
      </c>
      <c r="D9" s="1">
        <v>7.535</v>
      </c>
      <c r="E9" s="4">
        <f t="shared" ref="E9:E13" si="3">AVERAGE(C9:D9)</f>
        <v>6.19</v>
      </c>
      <c r="F9" s="1">
        <v>0.509</v>
      </c>
      <c r="G9" s="1">
        <v>0.802</v>
      </c>
      <c r="H9" s="1">
        <v>0.837</v>
      </c>
      <c r="I9" s="3">
        <v>0.611</v>
      </c>
      <c r="J9" s="3">
        <v>0.753</v>
      </c>
      <c r="K9" s="3">
        <v>0.352</v>
      </c>
      <c r="L9" s="1">
        <v>0.8</v>
      </c>
      <c r="M9" s="1">
        <v>0.686</v>
      </c>
      <c r="N9" s="3">
        <v>0.743</v>
      </c>
      <c r="O9" s="4">
        <f>AVERAGE(F9,G9,H9,L9,M9)</f>
        <v>0.7268</v>
      </c>
    </row>
    <row r="10">
      <c r="A10" s="1" t="s">
        <v>15</v>
      </c>
      <c r="B10" s="1" t="s">
        <v>16</v>
      </c>
      <c r="C10" s="5">
        <v>5.5591</v>
      </c>
      <c r="D10" s="1">
        <v>8.6096</v>
      </c>
      <c r="E10" s="4">
        <f t="shared" si="3"/>
        <v>7.08435</v>
      </c>
      <c r="F10" s="1">
        <v>0.44881</v>
      </c>
      <c r="G10" s="1">
        <v>0.76431</v>
      </c>
      <c r="H10" s="1">
        <v>0.79847</v>
      </c>
      <c r="L10" s="1">
        <v>0.78781</v>
      </c>
      <c r="M10" s="1">
        <v>0.63899</v>
      </c>
      <c r="N10" s="1">
        <v>0.7332</v>
      </c>
      <c r="O10" s="4">
        <f>AVERAGE(F10,G10,H11,L10,M10)</f>
        <v>0.686884</v>
      </c>
      <c r="Q10" s="1" t="s">
        <v>82</v>
      </c>
    </row>
    <row r="11">
      <c r="A11" s="98"/>
      <c r="B11" s="99" t="s">
        <v>57</v>
      </c>
      <c r="C11" s="100">
        <v>5.5081</v>
      </c>
      <c r="D11" s="100">
        <v>8.4699</v>
      </c>
      <c r="E11" s="101">
        <f t="shared" si="3"/>
        <v>6.989</v>
      </c>
      <c r="F11" s="102">
        <v>0.45392</v>
      </c>
      <c r="G11" s="99">
        <v>0.76136</v>
      </c>
      <c r="H11" s="99">
        <v>0.7945</v>
      </c>
      <c r="I11" s="98"/>
      <c r="J11" s="98"/>
      <c r="K11" s="98"/>
      <c r="L11" s="102">
        <v>0.8014</v>
      </c>
      <c r="M11" s="102">
        <v>0.6823</v>
      </c>
      <c r="N11" s="99">
        <v>0.7356</v>
      </c>
      <c r="O11" s="101">
        <f t="shared" ref="O11:O13" si="4">AVERAGE(F11,G11,H10,L11,M11)</f>
        <v>0.69949</v>
      </c>
      <c r="P11" s="99" t="s">
        <v>83</v>
      </c>
      <c r="Q11" s="99" t="s">
        <v>84</v>
      </c>
      <c r="R11" s="99" t="s">
        <v>85</v>
      </c>
      <c r="S11" s="98"/>
      <c r="T11" s="98"/>
      <c r="U11" s="98"/>
      <c r="V11" s="98"/>
      <c r="W11" s="98"/>
      <c r="X11" s="98"/>
      <c r="Y11" s="98"/>
      <c r="Z11" s="98"/>
      <c r="AA11" s="98"/>
    </row>
    <row r="12">
      <c r="B12" s="1" t="s">
        <v>51</v>
      </c>
      <c r="C12" s="6">
        <v>5.5302</v>
      </c>
      <c r="D12" s="6">
        <v>8.4911</v>
      </c>
      <c r="E12" s="7">
        <f t="shared" si="3"/>
        <v>7.01065</v>
      </c>
      <c r="F12" s="8">
        <v>0.45392</v>
      </c>
      <c r="G12" s="8">
        <v>0.7664</v>
      </c>
      <c r="H12" s="1">
        <v>0.796</v>
      </c>
      <c r="L12" s="8">
        <v>0.7884</v>
      </c>
      <c r="M12" s="8">
        <v>0.6534</v>
      </c>
      <c r="N12" s="1"/>
      <c r="O12" s="7">
        <f t="shared" si="4"/>
        <v>0.691324</v>
      </c>
      <c r="P12" s="1"/>
      <c r="Q12" s="1"/>
      <c r="R12" s="1"/>
    </row>
    <row r="13">
      <c r="B13" s="35" t="s">
        <v>18</v>
      </c>
      <c r="C13" s="1">
        <v>5.5616</v>
      </c>
      <c r="D13" s="1">
        <v>8.6135</v>
      </c>
      <c r="E13" s="4">
        <f t="shared" si="3"/>
        <v>7.08755</v>
      </c>
      <c r="F13" s="1">
        <v>0.45137</v>
      </c>
      <c r="G13" s="1">
        <v>0.76557</v>
      </c>
      <c r="H13" s="8">
        <v>0.80612</v>
      </c>
      <c r="L13" s="1">
        <v>0.78836</v>
      </c>
      <c r="M13" s="1">
        <v>0.64065</v>
      </c>
      <c r="O13" s="7">
        <f t="shared" si="4"/>
        <v>0.68839</v>
      </c>
    </row>
    <row r="15">
      <c r="B15" s="1" t="s">
        <v>78</v>
      </c>
      <c r="C15" s="1">
        <v>5.522</v>
      </c>
      <c r="D15" s="1">
        <v>8.409</v>
      </c>
      <c r="E15" s="4">
        <f t="shared" ref="E15:E17" si="5">AVERAGE(C15:D15)</f>
        <v>6.9655</v>
      </c>
      <c r="F15" s="1">
        <v>0.522</v>
      </c>
      <c r="G15" s="1">
        <v>0.822</v>
      </c>
      <c r="H15" s="1">
        <v>0.83</v>
      </c>
      <c r="I15" s="3">
        <v>0.607</v>
      </c>
      <c r="J15" s="3">
        <v>0.751</v>
      </c>
      <c r="K15" s="3">
        <v>0.34</v>
      </c>
      <c r="L15" s="1">
        <v>0.791</v>
      </c>
      <c r="M15" s="1">
        <v>0.711</v>
      </c>
      <c r="N15" s="3">
        <v>0.746</v>
      </c>
      <c r="O15" s="4">
        <f t="shared" ref="O15:O17" si="6">AVERAGE(F15,G15,H15,L15,M15)</f>
        <v>0.7352</v>
      </c>
    </row>
    <row r="16">
      <c r="A16" s="10" t="s">
        <v>27</v>
      </c>
      <c r="B16" s="1" t="s">
        <v>16</v>
      </c>
      <c r="C16" s="5">
        <v>9.8192</v>
      </c>
      <c r="D16" s="5">
        <v>16.0806</v>
      </c>
      <c r="E16" s="4">
        <f t="shared" si="5"/>
        <v>12.9499</v>
      </c>
      <c r="F16" s="1">
        <v>0.39932</v>
      </c>
      <c r="G16" s="1">
        <v>0.70623</v>
      </c>
      <c r="H16" s="8">
        <v>0.69847</v>
      </c>
      <c r="L16" s="1">
        <v>0.74266</v>
      </c>
      <c r="M16" s="1">
        <v>0.58123</v>
      </c>
      <c r="O16" s="4">
        <f t="shared" si="6"/>
        <v>0.625582</v>
      </c>
    </row>
    <row r="17">
      <c r="A17" s="92"/>
      <c r="B17" s="93" t="s">
        <v>57</v>
      </c>
      <c r="C17" s="94">
        <v>8.625</v>
      </c>
      <c r="D17" s="94">
        <v>13.9666</v>
      </c>
      <c r="E17" s="95">
        <f t="shared" si="5"/>
        <v>11.2958</v>
      </c>
      <c r="F17" s="96">
        <v>0.40529</v>
      </c>
      <c r="G17" s="96">
        <v>0.72727</v>
      </c>
      <c r="H17" s="93">
        <v>0.69327</v>
      </c>
      <c r="I17" s="92"/>
      <c r="J17" s="92"/>
      <c r="K17" s="92"/>
      <c r="L17" s="96">
        <v>0.75789</v>
      </c>
      <c r="M17" s="96">
        <v>0.59567</v>
      </c>
      <c r="N17" s="92"/>
      <c r="O17" s="95">
        <f t="shared" si="6"/>
        <v>0.635878</v>
      </c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>
      <c r="B18" s="8" t="s">
        <v>56</v>
      </c>
      <c r="C18" s="5">
        <v>8.7308</v>
      </c>
      <c r="D18" s="5">
        <v>14.168</v>
      </c>
      <c r="E18" s="7"/>
      <c r="F18" s="8">
        <v>0.409556</v>
      </c>
      <c r="G18" s="8">
        <v>0.728535</v>
      </c>
      <c r="H18" s="1">
        <v>0.693884</v>
      </c>
      <c r="L18" s="8">
        <v>0.756257</v>
      </c>
      <c r="M18" s="8">
        <v>0.610108</v>
      </c>
      <c r="O18" s="8">
        <v>0.639668</v>
      </c>
      <c r="P18" s="1" t="s">
        <v>83</v>
      </c>
      <c r="Q18" s="1" t="s">
        <v>86</v>
      </c>
    </row>
    <row r="19">
      <c r="B19" s="9" t="s">
        <v>18</v>
      </c>
      <c r="C19" s="1">
        <v>10.1321</v>
      </c>
      <c r="D19" s="1">
        <v>16.9936</v>
      </c>
      <c r="F19" s="1">
        <v>0.359215</v>
      </c>
      <c r="G19" s="1">
        <v>0.675084</v>
      </c>
      <c r="H19" s="1">
        <v>0.646789</v>
      </c>
      <c r="L19" s="1">
        <v>0.73395</v>
      </c>
      <c r="M19" s="1">
        <v>0.566787</v>
      </c>
      <c r="O19" s="7">
        <f>AVERAGE(F19,G19,H19,L19,M19)</f>
        <v>0.596365</v>
      </c>
    </row>
    <row r="20">
      <c r="O20" s="7"/>
    </row>
    <row r="21">
      <c r="B21" s="1" t="s">
        <v>78</v>
      </c>
      <c r="C21" s="1">
        <v>6.0839</v>
      </c>
      <c r="D21" s="1">
        <v>10.8166</v>
      </c>
      <c r="E21" s="4">
        <f t="shared" ref="E21:E24" si="7">AVERAGE(C21:D21)</f>
        <v>8.45025</v>
      </c>
      <c r="F21" s="1">
        <v>0.477</v>
      </c>
      <c r="G21" s="1">
        <v>0.804</v>
      </c>
      <c r="H21" s="1">
        <v>0.846</v>
      </c>
      <c r="I21" s="3">
        <v>0.6</v>
      </c>
      <c r="J21" s="3">
        <v>0.719</v>
      </c>
      <c r="K21" s="3">
        <v>0.332</v>
      </c>
      <c r="L21" s="1">
        <v>0.787</v>
      </c>
      <c r="M21" s="1">
        <v>0.815</v>
      </c>
      <c r="N21" s="3">
        <v>0.73</v>
      </c>
      <c r="O21" s="4">
        <f t="shared" ref="O21:O24" si="8">AVERAGE(F21,G21,H21,L21,M21)</f>
        <v>0.7458</v>
      </c>
    </row>
    <row r="22">
      <c r="A22" s="10" t="s">
        <v>33</v>
      </c>
      <c r="B22" s="1" t="s">
        <v>16</v>
      </c>
      <c r="C22" s="5">
        <v>10.7928</v>
      </c>
      <c r="D22" s="5">
        <v>17.6383</v>
      </c>
      <c r="E22" s="4">
        <f t="shared" si="7"/>
        <v>14.21555</v>
      </c>
      <c r="F22" s="1">
        <v>0.39761</v>
      </c>
      <c r="G22" s="1">
        <v>0.70118</v>
      </c>
      <c r="H22" s="1">
        <v>0.74709</v>
      </c>
      <c r="L22" s="1">
        <v>0.74592</v>
      </c>
      <c r="M22" s="1">
        <v>0.77256</v>
      </c>
      <c r="O22" s="4">
        <f t="shared" si="8"/>
        <v>0.672872</v>
      </c>
    </row>
    <row r="23">
      <c r="B23" s="1" t="s">
        <v>57</v>
      </c>
      <c r="C23" s="6">
        <v>8.9705</v>
      </c>
      <c r="D23" s="6">
        <v>15.2369</v>
      </c>
      <c r="E23" s="7">
        <f t="shared" si="7"/>
        <v>12.1037</v>
      </c>
      <c r="F23" s="8">
        <v>0.41724</v>
      </c>
      <c r="G23" s="8">
        <v>0.72643</v>
      </c>
      <c r="H23" s="8">
        <v>0.76758</v>
      </c>
      <c r="L23" s="8">
        <v>0.76279</v>
      </c>
      <c r="M23" s="8">
        <v>0.77617</v>
      </c>
      <c r="O23" s="7">
        <f t="shared" si="8"/>
        <v>0.690042</v>
      </c>
      <c r="Q23" s="1" t="s">
        <v>87</v>
      </c>
    </row>
    <row r="24">
      <c r="B24" s="9" t="s">
        <v>18</v>
      </c>
      <c r="C24" s="1">
        <v>10.6686</v>
      </c>
      <c r="D24" s="1">
        <v>17.5866</v>
      </c>
      <c r="E24" s="4">
        <f t="shared" si="7"/>
        <v>14.1276</v>
      </c>
      <c r="F24" s="1">
        <v>0.3925</v>
      </c>
      <c r="G24" s="1">
        <v>0.7008</v>
      </c>
      <c r="H24" s="1">
        <v>0.7529</v>
      </c>
      <c r="L24" s="1">
        <v>0.7465</v>
      </c>
      <c r="M24" s="1">
        <v>0.7617</v>
      </c>
      <c r="O24" s="4">
        <f t="shared" si="8"/>
        <v>0.67088</v>
      </c>
    </row>
    <row r="28">
      <c r="C28" s="6"/>
      <c r="D28" s="6"/>
      <c r="O28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3" t="s">
        <v>88</v>
      </c>
      <c r="B1" s="103" t="s">
        <v>1</v>
      </c>
      <c r="C1" s="14"/>
      <c r="D1" s="14"/>
      <c r="E1" s="14"/>
      <c r="F1" s="14"/>
      <c r="G1" s="14"/>
      <c r="H1" s="14"/>
      <c r="I1" s="65"/>
      <c r="J1" s="14"/>
      <c r="K1" s="14"/>
      <c r="L1" s="14"/>
      <c r="M1" s="14"/>
      <c r="N1" s="14"/>
      <c r="O1" s="14"/>
      <c r="P1" s="14"/>
      <c r="Q1" s="14"/>
      <c r="R1" s="14"/>
    </row>
    <row r="2">
      <c r="A2" s="14"/>
      <c r="B2" s="14"/>
      <c r="C2" s="103" t="s">
        <v>2</v>
      </c>
      <c r="D2" s="103" t="s">
        <v>3</v>
      </c>
      <c r="E2" s="14"/>
      <c r="F2" s="103" t="s">
        <v>4</v>
      </c>
      <c r="G2" s="103" t="s">
        <v>5</v>
      </c>
      <c r="H2" s="103" t="s">
        <v>6</v>
      </c>
      <c r="I2" s="65"/>
      <c r="J2" s="103" t="s">
        <v>10</v>
      </c>
      <c r="K2" s="103" t="s">
        <v>11</v>
      </c>
      <c r="L2" s="103" t="s">
        <v>13</v>
      </c>
      <c r="M2" s="14"/>
      <c r="N2" s="104" t="s">
        <v>89</v>
      </c>
      <c r="O2" s="104" t="s">
        <v>90</v>
      </c>
      <c r="P2" s="104" t="s">
        <v>91</v>
      </c>
      <c r="Q2" s="104" t="s">
        <v>92</v>
      </c>
      <c r="R2" s="104" t="s">
        <v>93</v>
      </c>
    </row>
    <row r="3">
      <c r="A3" s="103" t="s">
        <v>94</v>
      </c>
      <c r="B3" s="103" t="s">
        <v>95</v>
      </c>
      <c r="C3" s="105">
        <v>6.025</v>
      </c>
      <c r="D3" s="105">
        <v>9.44</v>
      </c>
      <c r="E3" s="14"/>
      <c r="F3" s="105">
        <v>0.49</v>
      </c>
      <c r="G3" s="105">
        <v>0.806</v>
      </c>
      <c r="H3" s="105">
        <v>0.819</v>
      </c>
      <c r="I3" s="14"/>
      <c r="J3" s="105">
        <v>0.783</v>
      </c>
      <c r="K3" s="105">
        <v>0.675</v>
      </c>
      <c r="L3" s="105">
        <v>0.715</v>
      </c>
      <c r="M3" s="14"/>
      <c r="N3" s="14"/>
      <c r="O3" s="106">
        <v>0.0</v>
      </c>
      <c r="P3" s="106">
        <v>0.0</v>
      </c>
      <c r="Q3" s="106">
        <v>0.0</v>
      </c>
      <c r="R3" s="104" t="s">
        <v>96</v>
      </c>
    </row>
    <row r="4">
      <c r="A4" s="14"/>
      <c r="B4" s="103" t="s">
        <v>97</v>
      </c>
      <c r="C4" s="14"/>
      <c r="D4" s="14"/>
      <c r="E4" s="14"/>
      <c r="F4" s="105">
        <v>0.496</v>
      </c>
      <c r="G4" s="105">
        <v>0.807</v>
      </c>
      <c r="H4" s="105">
        <v>0.814</v>
      </c>
      <c r="I4" s="14"/>
      <c r="J4" s="105">
        <v>0.786</v>
      </c>
      <c r="K4" s="105">
        <v>0.679</v>
      </c>
      <c r="L4" s="105">
        <v>0.716</v>
      </c>
      <c r="M4" s="14"/>
      <c r="N4" s="106">
        <v>4.0</v>
      </c>
      <c r="O4" s="14"/>
      <c r="P4" s="14"/>
      <c r="Q4" s="14"/>
      <c r="R4" s="104" t="s">
        <v>98</v>
      </c>
    </row>
    <row r="5">
      <c r="A5" s="14"/>
      <c r="B5" s="103" t="s">
        <v>99</v>
      </c>
      <c r="C5" s="14"/>
      <c r="D5" s="14"/>
      <c r="E5" s="14"/>
      <c r="F5" s="105">
        <v>0.503</v>
      </c>
      <c r="G5" s="105">
        <v>0.809</v>
      </c>
      <c r="H5" s="105">
        <v>0.813</v>
      </c>
      <c r="I5" s="14"/>
      <c r="J5" s="105">
        <v>0.786</v>
      </c>
      <c r="K5" s="105">
        <v>0.671</v>
      </c>
      <c r="L5" s="105">
        <v>0.716</v>
      </c>
      <c r="M5" s="14"/>
      <c r="N5" s="106">
        <v>3.0</v>
      </c>
      <c r="O5" s="14"/>
      <c r="P5" s="14"/>
      <c r="Q5" s="14"/>
      <c r="R5" s="104" t="s">
        <v>100</v>
      </c>
    </row>
    <row r="6">
      <c r="A6" s="14"/>
      <c r="B6" s="103" t="s">
        <v>101</v>
      </c>
      <c r="C6" s="105">
        <v>5.971</v>
      </c>
      <c r="D6" s="105">
        <v>9.367</v>
      </c>
      <c r="E6" s="14"/>
      <c r="F6" s="105">
        <v>0.498</v>
      </c>
      <c r="G6" s="105">
        <v>0.807</v>
      </c>
      <c r="H6" s="105">
        <v>0.813</v>
      </c>
      <c r="I6" s="14"/>
      <c r="J6" s="105">
        <v>0.786</v>
      </c>
      <c r="K6" s="105">
        <v>0.686</v>
      </c>
      <c r="L6" s="105">
        <v>0.718</v>
      </c>
      <c r="M6" s="14"/>
      <c r="N6" s="106">
        <v>4.0</v>
      </c>
      <c r="O6" s="106">
        <v>-0.901</v>
      </c>
      <c r="P6" s="106">
        <v>-0.766</v>
      </c>
      <c r="Q6" s="106">
        <v>-0.834</v>
      </c>
      <c r="R6" s="104" t="s">
        <v>102</v>
      </c>
    </row>
    <row r="7">
      <c r="A7" s="14"/>
      <c r="B7" s="103" t="s">
        <v>103</v>
      </c>
      <c r="C7" s="105">
        <v>5.967</v>
      </c>
      <c r="D7" s="105">
        <v>9.363</v>
      </c>
      <c r="E7" s="14"/>
      <c r="F7" s="105">
        <v>0.502</v>
      </c>
      <c r="G7" s="105">
        <v>0.806</v>
      </c>
      <c r="H7" s="105">
        <v>0.813</v>
      </c>
      <c r="I7" s="14"/>
      <c r="J7" s="105">
        <v>0.787</v>
      </c>
      <c r="K7" s="105">
        <v>0.7</v>
      </c>
      <c r="L7" s="105">
        <v>0.722</v>
      </c>
      <c r="M7" s="14"/>
      <c r="N7" s="106">
        <v>3.0</v>
      </c>
      <c r="O7" s="106">
        <v>-0.953</v>
      </c>
      <c r="P7" s="106">
        <v>-0.816</v>
      </c>
      <c r="Q7" s="106">
        <v>-0.884</v>
      </c>
      <c r="R7" s="104" t="s">
        <v>104</v>
      </c>
    </row>
    <row r="8">
      <c r="A8" s="14"/>
      <c r="B8" s="103" t="s">
        <v>105</v>
      </c>
      <c r="C8" s="105">
        <v>5.966</v>
      </c>
      <c r="D8" s="105">
        <v>9.363</v>
      </c>
      <c r="E8" s="14"/>
      <c r="F8" s="105">
        <v>0.5</v>
      </c>
      <c r="G8" s="105">
        <v>0.807</v>
      </c>
      <c r="H8" s="105">
        <v>0.813</v>
      </c>
      <c r="I8" s="14"/>
      <c r="J8" s="105">
        <v>0.787</v>
      </c>
      <c r="K8" s="105">
        <v>0.682</v>
      </c>
      <c r="L8" s="105">
        <v>0.718</v>
      </c>
      <c r="M8" s="14"/>
      <c r="N8" s="106">
        <v>4.0</v>
      </c>
      <c r="O8" s="106">
        <v>-0.971</v>
      </c>
      <c r="P8" s="106">
        <v>-0.81</v>
      </c>
      <c r="Q8" s="106">
        <v>-0.891</v>
      </c>
      <c r="R8" s="104" t="s">
        <v>106</v>
      </c>
    </row>
    <row r="9">
      <c r="A9" s="14"/>
      <c r="B9" s="103" t="s">
        <v>107</v>
      </c>
      <c r="C9" s="105">
        <v>5.987</v>
      </c>
      <c r="D9" s="105">
        <v>9.387</v>
      </c>
      <c r="E9" s="14"/>
      <c r="F9" s="105">
        <v>0.496</v>
      </c>
      <c r="G9" s="105">
        <v>0.804</v>
      </c>
      <c r="H9" s="105">
        <v>0.815</v>
      </c>
      <c r="I9" s="14"/>
      <c r="J9" s="105">
        <v>0.786</v>
      </c>
      <c r="K9" s="105">
        <v>0.671</v>
      </c>
      <c r="L9" s="105">
        <v>0.715</v>
      </c>
      <c r="M9" s="14"/>
      <c r="N9" s="106">
        <v>2.0</v>
      </c>
      <c r="O9" s="106">
        <v>-0.627</v>
      </c>
      <c r="P9" s="106">
        <v>-0.554</v>
      </c>
      <c r="Q9" s="106">
        <v>-0.591</v>
      </c>
      <c r="R9" s="104" t="s">
        <v>108</v>
      </c>
    </row>
    <row r="10">
      <c r="A10" s="14"/>
      <c r="B10" s="103" t="s">
        <v>109</v>
      </c>
      <c r="C10" s="105">
        <v>5.975</v>
      </c>
      <c r="D10" s="105">
        <v>9.373</v>
      </c>
      <c r="E10" s="14"/>
      <c r="F10" s="105">
        <v>0.502</v>
      </c>
      <c r="G10" s="105">
        <v>0.807</v>
      </c>
      <c r="H10" s="105">
        <v>0.814</v>
      </c>
      <c r="I10" s="14"/>
      <c r="J10" s="105">
        <v>0.787</v>
      </c>
      <c r="K10" s="105">
        <v>0.668</v>
      </c>
      <c r="L10" s="105">
        <v>0.716</v>
      </c>
      <c r="M10" s="14"/>
      <c r="N10" s="106">
        <v>3.0</v>
      </c>
      <c r="O10" s="106">
        <v>-0.822</v>
      </c>
      <c r="P10" s="106">
        <v>-0.708</v>
      </c>
      <c r="Q10" s="106">
        <v>-0.765</v>
      </c>
      <c r="R10" s="104" t="s">
        <v>110</v>
      </c>
    </row>
    <row r="11">
      <c r="A11" s="14"/>
      <c r="B11" s="103" t="s">
        <v>111</v>
      </c>
      <c r="C11" s="105">
        <v>5.972</v>
      </c>
      <c r="D11" s="14"/>
      <c r="E11" s="14"/>
      <c r="F11" s="105">
        <v>0.502</v>
      </c>
      <c r="G11" s="105">
        <v>0.809</v>
      </c>
      <c r="H11" s="105">
        <v>0.814</v>
      </c>
      <c r="I11" s="14"/>
      <c r="J11" s="105">
        <v>0.788</v>
      </c>
      <c r="K11" s="105">
        <v>0.679</v>
      </c>
      <c r="L11" s="105">
        <v>0.718</v>
      </c>
      <c r="M11" s="14"/>
      <c r="N11" s="106">
        <v>4.0</v>
      </c>
      <c r="O11" s="106">
        <v>-0.883</v>
      </c>
      <c r="P11" s="14"/>
      <c r="Q11" s="106">
        <v>-0.883</v>
      </c>
      <c r="R11" s="104" t="s">
        <v>112</v>
      </c>
    </row>
    <row r="12">
      <c r="A12" s="14"/>
      <c r="B12" s="103" t="s">
        <v>113</v>
      </c>
      <c r="C12" s="105">
        <v>5.969</v>
      </c>
      <c r="D12" s="105">
        <v>9.363</v>
      </c>
      <c r="E12" s="14"/>
      <c r="F12" s="105">
        <v>0.503</v>
      </c>
      <c r="G12" s="105">
        <v>0.805</v>
      </c>
      <c r="H12" s="105">
        <v>0.813</v>
      </c>
      <c r="I12" s="14"/>
      <c r="J12" s="105">
        <v>0.787</v>
      </c>
      <c r="K12" s="105">
        <v>0.675</v>
      </c>
      <c r="L12" s="105">
        <v>0.717</v>
      </c>
      <c r="M12" s="14"/>
      <c r="N12" s="106">
        <v>2.0</v>
      </c>
      <c r="O12" s="106">
        <v>-0.933</v>
      </c>
      <c r="P12" s="106">
        <v>-0.809</v>
      </c>
      <c r="Q12" s="106">
        <v>-0.871</v>
      </c>
      <c r="R12" s="104" t="s">
        <v>114</v>
      </c>
    </row>
    <row r="13">
      <c r="A13" s="14"/>
      <c r="B13" s="103" t="s">
        <v>115</v>
      </c>
      <c r="C13" s="105">
        <v>5.968</v>
      </c>
      <c r="D13" s="105">
        <v>9.363</v>
      </c>
      <c r="E13" s="14"/>
      <c r="F13" s="105">
        <v>0.504</v>
      </c>
      <c r="G13" s="105">
        <v>0.807</v>
      </c>
      <c r="H13" s="105">
        <v>0.811</v>
      </c>
      <c r="I13" s="14"/>
      <c r="J13" s="105">
        <v>0.785</v>
      </c>
      <c r="K13" s="105">
        <v>0.682</v>
      </c>
      <c r="L13" s="105">
        <v>0.718</v>
      </c>
      <c r="M13" s="14"/>
      <c r="N13" s="106">
        <v>4.0</v>
      </c>
      <c r="O13" s="106">
        <v>-0.951</v>
      </c>
      <c r="P13" s="106">
        <v>-0.809</v>
      </c>
      <c r="Q13" s="106">
        <v>-0.88</v>
      </c>
      <c r="R13" s="104" t="s">
        <v>116</v>
      </c>
    </row>
    <row r="14">
      <c r="A14" s="14"/>
      <c r="B14" s="103" t="s">
        <v>117</v>
      </c>
      <c r="C14" s="105">
        <v>5.987</v>
      </c>
      <c r="D14" s="105">
        <v>9.387</v>
      </c>
      <c r="E14" s="14"/>
      <c r="F14" s="105">
        <v>0.497</v>
      </c>
      <c r="G14" s="105">
        <v>0.806</v>
      </c>
      <c r="H14" s="105">
        <v>0.812</v>
      </c>
      <c r="I14" s="14"/>
      <c r="J14" s="105">
        <v>0.786</v>
      </c>
      <c r="K14" s="105">
        <v>0.675</v>
      </c>
      <c r="L14" s="105">
        <v>0.715</v>
      </c>
      <c r="M14" s="14"/>
      <c r="N14" s="106">
        <v>2.0</v>
      </c>
      <c r="O14" s="106">
        <v>-0.624</v>
      </c>
      <c r="P14" s="106">
        <v>-0.554</v>
      </c>
      <c r="Q14" s="106">
        <v>-0.589</v>
      </c>
      <c r="R14" s="104" t="s">
        <v>118</v>
      </c>
    </row>
    <row r="15">
      <c r="A15" s="14"/>
      <c r="B15" s="103" t="s">
        <v>119</v>
      </c>
      <c r="C15" s="105">
        <v>5.975</v>
      </c>
      <c r="D15" s="105">
        <v>9.373</v>
      </c>
      <c r="E15" s="14"/>
      <c r="F15" s="105">
        <v>0.5</v>
      </c>
      <c r="G15" s="105">
        <v>0.806</v>
      </c>
      <c r="H15" s="105">
        <v>0.816</v>
      </c>
      <c r="I15" s="14"/>
      <c r="J15" s="105">
        <v>0.787</v>
      </c>
      <c r="K15" s="105">
        <v>0.675</v>
      </c>
      <c r="L15" s="105">
        <v>0.717</v>
      </c>
      <c r="M15" s="14"/>
      <c r="N15" s="106">
        <v>2.0</v>
      </c>
      <c r="O15" s="106">
        <v>-0.83</v>
      </c>
      <c r="P15" s="106">
        <v>-0.703</v>
      </c>
      <c r="Q15" s="106">
        <v>-0.767</v>
      </c>
      <c r="R15" s="104" t="s">
        <v>120</v>
      </c>
    </row>
    <row r="16">
      <c r="A16" s="14"/>
      <c r="B16" s="103" t="s">
        <v>121</v>
      </c>
      <c r="C16" s="105">
        <v>5.972</v>
      </c>
      <c r="D16" s="105">
        <v>9.369</v>
      </c>
      <c r="E16" s="14"/>
      <c r="F16" s="105">
        <v>0.505</v>
      </c>
      <c r="G16" s="105">
        <v>0.807</v>
      </c>
      <c r="H16" s="105">
        <v>0.812</v>
      </c>
      <c r="I16" s="14"/>
      <c r="J16" s="105">
        <v>0.787</v>
      </c>
      <c r="K16" s="105">
        <v>0.675</v>
      </c>
      <c r="L16" s="105">
        <v>0.717</v>
      </c>
      <c r="M16" s="14"/>
      <c r="N16" s="106">
        <v>3.0</v>
      </c>
      <c r="O16" s="106">
        <v>-0.88</v>
      </c>
      <c r="P16" s="106">
        <v>-0.751</v>
      </c>
      <c r="Q16" s="106">
        <v>-0.815</v>
      </c>
      <c r="R16" s="104" t="s">
        <v>122</v>
      </c>
    </row>
    <row r="17">
      <c r="A17" s="14"/>
      <c r="B17" s="103" t="s">
        <v>123</v>
      </c>
      <c r="C17" s="105">
        <v>5.969</v>
      </c>
      <c r="D17" s="105">
        <v>9.366</v>
      </c>
      <c r="E17" s="14"/>
      <c r="F17" s="105">
        <v>0.5</v>
      </c>
      <c r="G17" s="105">
        <v>0.808</v>
      </c>
      <c r="H17" s="105">
        <v>0.811</v>
      </c>
      <c r="I17" s="14"/>
      <c r="J17" s="105">
        <v>0.788</v>
      </c>
      <c r="K17" s="105">
        <v>0.679</v>
      </c>
      <c r="L17" s="105">
        <v>0.717</v>
      </c>
      <c r="M17" s="14"/>
      <c r="N17" s="106">
        <v>4.0</v>
      </c>
      <c r="O17" s="106">
        <v>-0.921</v>
      </c>
      <c r="P17" s="106">
        <v>-0.778</v>
      </c>
      <c r="Q17" s="106">
        <v>-0.849</v>
      </c>
      <c r="R17" s="104" t="s">
        <v>124</v>
      </c>
    </row>
    <row r="18">
      <c r="A18" s="14"/>
      <c r="B18" s="103" t="s">
        <v>125</v>
      </c>
      <c r="C18" s="105">
        <v>5.968</v>
      </c>
      <c r="D18" s="105">
        <v>9.366</v>
      </c>
      <c r="E18" s="14"/>
      <c r="F18" s="105">
        <v>0.504</v>
      </c>
      <c r="G18" s="105">
        <v>0.808</v>
      </c>
      <c r="H18" s="105">
        <v>0.813</v>
      </c>
      <c r="I18" s="14"/>
      <c r="J18" s="105">
        <v>0.784</v>
      </c>
      <c r="K18" s="105">
        <v>0.679</v>
      </c>
      <c r="L18" s="105">
        <v>0.718</v>
      </c>
      <c r="M18" s="14"/>
      <c r="N18" s="106">
        <v>4.0</v>
      </c>
      <c r="O18" s="106">
        <v>-0.944</v>
      </c>
      <c r="P18" s="106">
        <v>-0.777</v>
      </c>
      <c r="Q18" s="106">
        <v>-0.86</v>
      </c>
      <c r="R18" s="104" t="s">
        <v>126</v>
      </c>
    </row>
    <row r="19">
      <c r="A19" s="14"/>
      <c r="B19" s="103" t="s">
        <v>127</v>
      </c>
      <c r="C19" s="105">
        <v>5.987</v>
      </c>
      <c r="D19" s="105">
        <v>9.389</v>
      </c>
      <c r="E19" s="14"/>
      <c r="F19" s="105">
        <v>0.497</v>
      </c>
      <c r="G19" s="105">
        <v>0.804</v>
      </c>
      <c r="H19" s="105">
        <v>0.812</v>
      </c>
      <c r="I19" s="14"/>
      <c r="J19" s="105">
        <v>0.787</v>
      </c>
      <c r="K19" s="105">
        <v>0.664</v>
      </c>
      <c r="L19" s="105">
        <v>0.713</v>
      </c>
      <c r="M19" s="14"/>
      <c r="N19" s="106">
        <v>2.0</v>
      </c>
      <c r="O19" s="106">
        <v>-0.624</v>
      </c>
      <c r="P19" s="106">
        <v>-0.534</v>
      </c>
      <c r="Q19" s="106">
        <v>-0.579</v>
      </c>
      <c r="R19" s="104" t="s">
        <v>128</v>
      </c>
    </row>
    <row r="20">
      <c r="A20" s="14"/>
      <c r="B20" s="103" t="s">
        <v>129</v>
      </c>
      <c r="C20" s="105">
        <v>5.976</v>
      </c>
      <c r="D20" s="105">
        <v>9.376</v>
      </c>
      <c r="E20" s="14"/>
      <c r="F20" s="105">
        <v>0.497</v>
      </c>
      <c r="G20" s="105">
        <v>0.809</v>
      </c>
      <c r="H20" s="105">
        <v>0.815</v>
      </c>
      <c r="I20" s="14"/>
      <c r="J20" s="105">
        <v>0.787</v>
      </c>
      <c r="K20" s="105">
        <v>0.679</v>
      </c>
      <c r="L20" s="105">
        <v>0.717</v>
      </c>
      <c r="M20" s="14"/>
      <c r="N20" s="106">
        <v>4.0</v>
      </c>
      <c r="O20" s="106">
        <v>-0.803</v>
      </c>
      <c r="P20" s="106">
        <v>-0.677</v>
      </c>
      <c r="Q20" s="106">
        <v>-0.74</v>
      </c>
      <c r="R20" s="104" t="s">
        <v>130</v>
      </c>
    </row>
    <row r="21">
      <c r="A21" s="107"/>
      <c r="B21" s="108" t="s">
        <v>131</v>
      </c>
      <c r="C21" s="109">
        <v>5.973</v>
      </c>
      <c r="D21" s="109">
        <v>9.369</v>
      </c>
      <c r="E21" s="107"/>
      <c r="F21" s="109">
        <v>0.505</v>
      </c>
      <c r="G21" s="109">
        <v>0.807</v>
      </c>
      <c r="H21" s="109">
        <v>0.813</v>
      </c>
      <c r="I21" s="107"/>
      <c r="J21" s="109">
        <v>0.787</v>
      </c>
      <c r="K21" s="109">
        <v>0.693</v>
      </c>
      <c r="L21" s="109">
        <v>0.721</v>
      </c>
      <c r="M21" s="14"/>
      <c r="N21" s="106">
        <v>4.0</v>
      </c>
      <c r="O21" s="106">
        <v>-0.865</v>
      </c>
      <c r="P21" s="106">
        <v>-0.747</v>
      </c>
      <c r="Q21" s="106">
        <v>-0.806</v>
      </c>
      <c r="R21" s="104" t="s">
        <v>132</v>
      </c>
    </row>
    <row r="22">
      <c r="A22" s="14"/>
      <c r="B22" s="103" t="s">
        <v>133</v>
      </c>
      <c r="C22" s="105">
        <v>5.969</v>
      </c>
      <c r="D22" s="105">
        <v>9.366</v>
      </c>
      <c r="E22" s="14"/>
      <c r="F22" s="105">
        <v>0.503</v>
      </c>
      <c r="G22" s="105">
        <v>0.808</v>
      </c>
      <c r="H22" s="105">
        <v>0.813</v>
      </c>
      <c r="I22" s="14"/>
      <c r="J22" s="105">
        <v>0.785</v>
      </c>
      <c r="K22" s="105">
        <v>0.682</v>
      </c>
      <c r="L22" s="105">
        <v>0.718</v>
      </c>
      <c r="M22" s="14"/>
      <c r="N22" s="106">
        <v>4.0</v>
      </c>
      <c r="O22" s="106">
        <v>-0.929</v>
      </c>
      <c r="P22" s="106">
        <v>-0.777</v>
      </c>
      <c r="Q22" s="106">
        <v>-0.853</v>
      </c>
      <c r="R22" s="104" t="s">
        <v>134</v>
      </c>
    </row>
    <row r="23">
      <c r="A23" s="14"/>
      <c r="B23" s="103" t="s">
        <v>135</v>
      </c>
      <c r="C23" s="105">
        <v>5.969</v>
      </c>
      <c r="D23" s="105">
        <v>9.367</v>
      </c>
      <c r="E23" s="14"/>
      <c r="F23" s="105">
        <v>0.506</v>
      </c>
      <c r="G23" s="105">
        <v>0.809</v>
      </c>
      <c r="H23" s="105">
        <v>0.814</v>
      </c>
      <c r="I23" s="14"/>
      <c r="J23" s="105">
        <v>0.785</v>
      </c>
      <c r="K23" s="105">
        <v>0.668</v>
      </c>
      <c r="L23" s="105">
        <v>0.716</v>
      </c>
      <c r="M23" s="14"/>
      <c r="N23" s="106">
        <v>3.0</v>
      </c>
      <c r="O23" s="106">
        <v>-0.934</v>
      </c>
      <c r="P23" s="106">
        <v>-0.773</v>
      </c>
      <c r="Q23" s="106">
        <v>-0.854</v>
      </c>
      <c r="R23" s="104" t="s">
        <v>136</v>
      </c>
    </row>
    <row r="24">
      <c r="A24" s="14"/>
      <c r="B24" s="103" t="s">
        <v>137</v>
      </c>
      <c r="C24" s="105">
        <v>5.988</v>
      </c>
      <c r="D24" s="105">
        <v>9.39</v>
      </c>
      <c r="E24" s="14"/>
      <c r="F24" s="105">
        <v>0.496</v>
      </c>
      <c r="G24" s="105">
        <v>0.806</v>
      </c>
      <c r="H24" s="105">
        <v>0.813</v>
      </c>
      <c r="I24" s="14"/>
      <c r="J24" s="105">
        <v>0.788</v>
      </c>
      <c r="K24" s="105">
        <v>0.671</v>
      </c>
      <c r="L24" s="105">
        <v>0.715</v>
      </c>
      <c r="M24" s="14"/>
      <c r="N24" s="106">
        <v>2.0</v>
      </c>
      <c r="O24" s="106">
        <v>-0.607</v>
      </c>
      <c r="P24" s="106">
        <v>-0.53</v>
      </c>
      <c r="Q24" s="106">
        <v>-0.569</v>
      </c>
      <c r="R24" s="104" t="s">
        <v>138</v>
      </c>
    </row>
    <row r="25">
      <c r="A25" s="14"/>
      <c r="B25" s="103" t="s">
        <v>139</v>
      </c>
      <c r="C25" s="105">
        <v>5.977</v>
      </c>
      <c r="D25" s="105">
        <v>9.375</v>
      </c>
      <c r="E25" s="14"/>
      <c r="F25" s="105">
        <v>0.497</v>
      </c>
      <c r="G25" s="105">
        <v>0.809</v>
      </c>
      <c r="H25" s="105">
        <v>0.812</v>
      </c>
      <c r="I25" s="14"/>
      <c r="J25" s="105">
        <v>0.788</v>
      </c>
      <c r="K25" s="105">
        <v>0.682</v>
      </c>
      <c r="L25" s="105">
        <v>0.718</v>
      </c>
      <c r="M25" s="14"/>
      <c r="N25" s="106">
        <v>4.0</v>
      </c>
      <c r="O25" s="106">
        <v>-0.802</v>
      </c>
      <c r="P25" s="106">
        <v>-0.684</v>
      </c>
      <c r="Q25" s="106">
        <v>-0.743</v>
      </c>
      <c r="R25" s="104" t="s">
        <v>140</v>
      </c>
    </row>
    <row r="26">
      <c r="A26" s="14"/>
      <c r="B26" s="103" t="s">
        <v>141</v>
      </c>
      <c r="C26" s="105">
        <v>5.974</v>
      </c>
      <c r="D26" s="105">
        <v>9.37</v>
      </c>
      <c r="E26" s="14"/>
      <c r="F26" s="105">
        <v>0.502</v>
      </c>
      <c r="G26" s="105">
        <v>0.807</v>
      </c>
      <c r="H26" s="105">
        <v>0.813</v>
      </c>
      <c r="I26" s="14"/>
      <c r="J26" s="105">
        <v>0.789</v>
      </c>
      <c r="K26" s="105">
        <v>0.693</v>
      </c>
      <c r="L26" s="105">
        <v>0.721</v>
      </c>
      <c r="M26" s="14"/>
      <c r="N26" s="106">
        <v>4.0</v>
      </c>
      <c r="O26" s="106">
        <v>-0.847</v>
      </c>
      <c r="P26" s="106">
        <v>-0.742</v>
      </c>
      <c r="Q26" s="106">
        <v>-0.794</v>
      </c>
      <c r="R26" s="104" t="s">
        <v>142</v>
      </c>
    </row>
    <row r="27">
      <c r="A27" s="14"/>
      <c r="B27" s="103" t="s">
        <v>143</v>
      </c>
      <c r="C27" s="105">
        <v>5.97</v>
      </c>
      <c r="D27" s="105">
        <v>9.366</v>
      </c>
      <c r="E27" s="14"/>
      <c r="F27" s="105">
        <v>0.499</v>
      </c>
      <c r="G27" s="105">
        <v>0.808</v>
      </c>
      <c r="H27" s="105">
        <v>0.814</v>
      </c>
      <c r="I27" s="14"/>
      <c r="J27" s="105">
        <v>0.788</v>
      </c>
      <c r="K27" s="105">
        <v>0.682</v>
      </c>
      <c r="L27" s="105">
        <v>0.718</v>
      </c>
      <c r="M27" s="14"/>
      <c r="N27" s="106">
        <v>4.0</v>
      </c>
      <c r="O27" s="106">
        <v>-0.911</v>
      </c>
      <c r="P27" s="106">
        <v>-0.777</v>
      </c>
      <c r="Q27" s="106">
        <v>-0.844</v>
      </c>
      <c r="R27" s="104" t="s">
        <v>144</v>
      </c>
    </row>
    <row r="28">
      <c r="A28" s="14"/>
      <c r="B28" s="103" t="s">
        <v>145</v>
      </c>
      <c r="C28" s="105">
        <v>5.969</v>
      </c>
      <c r="D28" s="105">
        <v>9.366</v>
      </c>
      <c r="E28" s="14"/>
      <c r="F28" s="105">
        <v>0.501</v>
      </c>
      <c r="G28" s="105">
        <v>0.809</v>
      </c>
      <c r="H28" s="105">
        <v>0.809</v>
      </c>
      <c r="I28" s="14"/>
      <c r="J28" s="105">
        <v>0.786</v>
      </c>
      <c r="K28" s="105">
        <v>0.675</v>
      </c>
      <c r="L28" s="105">
        <v>0.716</v>
      </c>
      <c r="M28" s="14"/>
      <c r="N28" s="106">
        <v>3.0</v>
      </c>
      <c r="O28" s="106">
        <v>-0.933</v>
      </c>
      <c r="P28" s="106">
        <v>-0.78</v>
      </c>
      <c r="Q28" s="106">
        <v>-0.856</v>
      </c>
      <c r="R28" s="104" t="s">
        <v>146</v>
      </c>
    </row>
    <row r="29">
      <c r="A29" s="14"/>
      <c r="B29" s="103" t="s">
        <v>147</v>
      </c>
      <c r="C29" s="105">
        <v>5.989</v>
      </c>
      <c r="D29" s="105">
        <v>9.391</v>
      </c>
      <c r="E29" s="14"/>
      <c r="F29" s="105">
        <v>0.492</v>
      </c>
      <c r="G29" s="105">
        <v>0.805</v>
      </c>
      <c r="H29" s="105">
        <v>0.812</v>
      </c>
      <c r="I29" s="14"/>
      <c r="J29" s="105">
        <v>0.786</v>
      </c>
      <c r="K29" s="105">
        <v>0.675</v>
      </c>
      <c r="L29" s="105">
        <v>0.714</v>
      </c>
      <c r="M29" s="14"/>
      <c r="N29" s="106">
        <v>2.0</v>
      </c>
      <c r="O29" s="106">
        <v>-0.603</v>
      </c>
      <c r="P29" s="106">
        <v>-0.512</v>
      </c>
      <c r="Q29" s="106">
        <v>-0.557</v>
      </c>
      <c r="R29" s="104" t="s">
        <v>148</v>
      </c>
    </row>
    <row r="30">
      <c r="A30" s="14"/>
      <c r="B30" s="103" t="s">
        <v>149</v>
      </c>
      <c r="C30" s="105">
        <v>5.977</v>
      </c>
      <c r="D30" s="105">
        <v>9.377</v>
      </c>
      <c r="E30" s="14"/>
      <c r="F30" s="105">
        <v>0.496</v>
      </c>
      <c r="G30" s="105">
        <v>0.809</v>
      </c>
      <c r="H30" s="105">
        <v>0.813</v>
      </c>
      <c r="I30" s="14"/>
      <c r="J30" s="105">
        <v>0.788</v>
      </c>
      <c r="K30" s="105">
        <v>0.679</v>
      </c>
      <c r="L30" s="105">
        <v>0.717</v>
      </c>
      <c r="M30" s="14"/>
      <c r="N30" s="106">
        <v>4.0</v>
      </c>
      <c r="O30" s="106">
        <v>-0.793</v>
      </c>
      <c r="P30" s="106">
        <v>-0.665</v>
      </c>
      <c r="Q30" s="106">
        <v>-0.729</v>
      </c>
      <c r="R30" s="104" t="s">
        <v>150</v>
      </c>
    </row>
    <row r="31">
      <c r="A31" s="14"/>
      <c r="B31" s="103" t="s">
        <v>151</v>
      </c>
      <c r="C31" s="105">
        <v>5.974</v>
      </c>
      <c r="D31" s="105">
        <v>9.372</v>
      </c>
      <c r="E31" s="14"/>
      <c r="F31" s="105">
        <v>0.5</v>
      </c>
      <c r="G31" s="105">
        <v>0.808</v>
      </c>
      <c r="H31" s="105">
        <v>0.813</v>
      </c>
      <c r="I31" s="14"/>
      <c r="J31" s="105">
        <v>0.788</v>
      </c>
      <c r="K31" s="105">
        <v>0.682</v>
      </c>
      <c r="L31" s="105">
        <v>0.718</v>
      </c>
      <c r="M31" s="14"/>
      <c r="N31" s="106">
        <v>4.0</v>
      </c>
      <c r="O31" s="106">
        <v>-0.848</v>
      </c>
      <c r="P31" s="106">
        <v>-0.716</v>
      </c>
      <c r="Q31" s="106">
        <v>-0.782</v>
      </c>
      <c r="R31" s="104" t="s">
        <v>152</v>
      </c>
    </row>
    <row r="32">
      <c r="A32" s="14"/>
      <c r="B32" s="103" t="s">
        <v>153</v>
      </c>
      <c r="C32" s="105">
        <v>5.97</v>
      </c>
      <c r="D32" s="105">
        <v>9.368</v>
      </c>
      <c r="E32" s="14"/>
      <c r="F32" s="105">
        <v>0.499</v>
      </c>
      <c r="G32" s="105">
        <v>0.808</v>
      </c>
      <c r="H32" s="105">
        <v>0.813</v>
      </c>
      <c r="I32" s="14"/>
      <c r="J32" s="105">
        <v>0.788</v>
      </c>
      <c r="K32" s="105">
        <v>0.69</v>
      </c>
      <c r="L32" s="105">
        <v>0.72</v>
      </c>
      <c r="M32" s="14"/>
      <c r="N32" s="106">
        <v>4.0</v>
      </c>
      <c r="O32" s="106">
        <v>-0.916</v>
      </c>
      <c r="P32" s="106">
        <v>-0.755</v>
      </c>
      <c r="Q32" s="106">
        <v>-0.836</v>
      </c>
      <c r="R32" s="104" t="s">
        <v>154</v>
      </c>
    </row>
    <row r="33">
      <c r="A33" s="14"/>
      <c r="B33" s="103" t="s">
        <v>155</v>
      </c>
      <c r="C33" s="105">
        <v>5.968</v>
      </c>
      <c r="D33" s="105">
        <v>9.367</v>
      </c>
      <c r="E33" s="14"/>
      <c r="F33" s="105">
        <v>0.498</v>
      </c>
      <c r="G33" s="105">
        <v>0.808</v>
      </c>
      <c r="H33" s="105">
        <v>0.813</v>
      </c>
      <c r="I33" s="14"/>
      <c r="J33" s="105">
        <v>0.785</v>
      </c>
      <c r="K33" s="105">
        <v>0.69</v>
      </c>
      <c r="L33" s="105">
        <v>0.719</v>
      </c>
      <c r="M33" s="14"/>
      <c r="N33" s="106">
        <v>4.0</v>
      </c>
      <c r="O33" s="106">
        <v>-0.938</v>
      </c>
      <c r="P33" s="106">
        <v>-0.767</v>
      </c>
      <c r="Q33" s="106">
        <v>-0.852</v>
      </c>
      <c r="R33" s="104" t="s">
        <v>156</v>
      </c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>
      <c r="A36" s="70" t="s">
        <v>157</v>
      </c>
      <c r="B36" s="70" t="s">
        <v>131</v>
      </c>
      <c r="C36" s="14"/>
      <c r="D36" s="14"/>
      <c r="E36" s="14"/>
      <c r="F36" s="15">
        <v>0.721</v>
      </c>
      <c r="G36" s="15">
        <v>4.0</v>
      </c>
      <c r="H36" s="15">
        <v>-0.806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" t="s">
        <v>158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</row>
    <row r="2">
      <c r="A2" s="110" t="s">
        <v>159</v>
      </c>
      <c r="B2" s="110" t="s">
        <v>160</v>
      </c>
      <c r="C2" s="110" t="s">
        <v>161</v>
      </c>
      <c r="D2" s="110" t="s">
        <v>2</v>
      </c>
      <c r="E2" s="110" t="s">
        <v>3</v>
      </c>
      <c r="F2" s="110" t="s">
        <v>4</v>
      </c>
      <c r="G2" s="110" t="s">
        <v>5</v>
      </c>
      <c r="H2" s="110" t="s">
        <v>6</v>
      </c>
      <c r="I2" s="110" t="s">
        <v>10</v>
      </c>
      <c r="J2" s="110" t="s">
        <v>11</v>
      </c>
      <c r="K2" s="110" t="s">
        <v>162</v>
      </c>
      <c r="L2" s="110" t="s">
        <v>163</v>
      </c>
      <c r="M2" s="110" t="s">
        <v>164</v>
      </c>
      <c r="N2" s="110" t="s">
        <v>165</v>
      </c>
      <c r="O2" s="110" t="s">
        <v>93</v>
      </c>
    </row>
    <row r="3">
      <c r="A3" s="104" t="s">
        <v>166</v>
      </c>
      <c r="B3" s="111"/>
      <c r="C3" s="111"/>
      <c r="D3" s="106">
        <v>7.451</v>
      </c>
      <c r="E3" s="106">
        <v>11.98</v>
      </c>
      <c r="F3" s="106">
        <v>0.417</v>
      </c>
      <c r="G3" s="106">
        <v>0.749</v>
      </c>
      <c r="H3" s="106">
        <v>0.791</v>
      </c>
      <c r="I3" s="106">
        <v>0.768</v>
      </c>
      <c r="J3" s="106">
        <v>0.625</v>
      </c>
      <c r="K3" s="106">
        <v>0.67</v>
      </c>
      <c r="L3" s="111"/>
      <c r="M3" s="111"/>
      <c r="N3" s="111"/>
      <c r="O3" s="104" t="s">
        <v>167</v>
      </c>
    </row>
    <row r="4">
      <c r="A4" s="104" t="s">
        <v>168</v>
      </c>
      <c r="B4" s="106">
        <v>0.0</v>
      </c>
      <c r="C4" s="106">
        <v>0.01</v>
      </c>
      <c r="D4" s="106">
        <v>7.403</v>
      </c>
      <c r="E4" s="111"/>
      <c r="F4" s="106">
        <v>0.413</v>
      </c>
      <c r="G4" s="106">
        <v>0.741</v>
      </c>
      <c r="H4" s="106">
        <v>0.778</v>
      </c>
      <c r="I4" s="111"/>
      <c r="J4" s="106">
        <v>0.628</v>
      </c>
      <c r="K4" s="111"/>
      <c r="L4" s="106">
        <v>-0.048</v>
      </c>
      <c r="M4" s="111"/>
      <c r="N4" s="111"/>
      <c r="O4" s="104" t="s">
        <v>169</v>
      </c>
    </row>
    <row r="5">
      <c r="A5" s="104" t="s">
        <v>168</v>
      </c>
      <c r="B5" s="106">
        <v>0.0</v>
      </c>
      <c r="C5" s="106">
        <v>0.02</v>
      </c>
      <c r="D5" s="106">
        <v>7.407</v>
      </c>
      <c r="E5" s="111"/>
      <c r="F5" s="106">
        <v>0.404</v>
      </c>
      <c r="G5" s="106">
        <v>0.742</v>
      </c>
      <c r="H5" s="106">
        <v>0.774</v>
      </c>
      <c r="I5" s="111"/>
      <c r="J5" s="106">
        <v>0.646</v>
      </c>
      <c r="K5" s="111"/>
      <c r="L5" s="106">
        <v>-0.044</v>
      </c>
      <c r="M5" s="111"/>
      <c r="N5" s="111"/>
      <c r="O5" s="104" t="s">
        <v>170</v>
      </c>
    </row>
    <row r="6">
      <c r="A6" s="104" t="s">
        <v>168</v>
      </c>
      <c r="B6" s="106">
        <v>0.0</v>
      </c>
      <c r="C6" s="106">
        <v>0.03</v>
      </c>
      <c r="D6" s="106">
        <v>7.414</v>
      </c>
      <c r="E6" s="111"/>
      <c r="F6" s="106">
        <v>0.406</v>
      </c>
      <c r="G6" s="106">
        <v>0.738</v>
      </c>
      <c r="H6" s="106">
        <v>0.776</v>
      </c>
      <c r="I6" s="111"/>
      <c r="J6" s="106">
        <v>0.643</v>
      </c>
      <c r="K6" s="111"/>
      <c r="L6" s="106">
        <v>-0.037</v>
      </c>
      <c r="M6" s="111"/>
      <c r="N6" s="111"/>
      <c r="O6" s="104" t="s">
        <v>171</v>
      </c>
    </row>
    <row r="7">
      <c r="A7" s="104" t="s">
        <v>168</v>
      </c>
      <c r="B7" s="106">
        <v>0.0</v>
      </c>
      <c r="C7" s="106">
        <v>0.04</v>
      </c>
      <c r="D7" s="106">
        <v>7.411</v>
      </c>
      <c r="E7" s="111"/>
      <c r="F7" s="106">
        <v>0.416</v>
      </c>
      <c r="G7" s="106">
        <v>0.737</v>
      </c>
      <c r="H7" s="106">
        <v>0.776</v>
      </c>
      <c r="I7" s="111"/>
      <c r="J7" s="106">
        <v>0.657</v>
      </c>
      <c r="K7" s="111"/>
      <c r="L7" s="106">
        <v>-0.04</v>
      </c>
      <c r="M7" s="111"/>
      <c r="N7" s="111"/>
      <c r="O7" s="104" t="s">
        <v>172</v>
      </c>
    </row>
    <row r="8">
      <c r="A8" s="104" t="s">
        <v>168</v>
      </c>
      <c r="B8" s="106">
        <v>0.0</v>
      </c>
      <c r="C8" s="106">
        <v>0.05</v>
      </c>
      <c r="D8" s="106">
        <v>7.413</v>
      </c>
      <c r="E8" s="111"/>
      <c r="F8" s="106">
        <v>0.411</v>
      </c>
      <c r="G8" s="106">
        <v>0.738</v>
      </c>
      <c r="H8" s="106">
        <v>0.776</v>
      </c>
      <c r="I8" s="111"/>
      <c r="J8" s="106">
        <v>0.671</v>
      </c>
      <c r="K8" s="111"/>
      <c r="L8" s="106">
        <v>-0.039</v>
      </c>
      <c r="M8" s="111"/>
      <c r="N8" s="111"/>
      <c r="O8" s="104" t="s">
        <v>173</v>
      </c>
    </row>
    <row r="9">
      <c r="A9" s="104" t="s">
        <v>168</v>
      </c>
      <c r="B9" s="106">
        <v>0.01</v>
      </c>
      <c r="C9" s="106">
        <v>0.01</v>
      </c>
      <c r="D9" s="106">
        <v>7.402</v>
      </c>
      <c r="E9" s="111"/>
      <c r="F9" s="106">
        <v>0.42</v>
      </c>
      <c r="G9" s="106">
        <v>0.743</v>
      </c>
      <c r="H9" s="106">
        <v>0.777</v>
      </c>
      <c r="I9" s="111"/>
      <c r="J9" s="106">
        <v>0.65</v>
      </c>
      <c r="K9" s="111"/>
      <c r="L9" s="106">
        <v>-0.049</v>
      </c>
      <c r="M9" s="111"/>
      <c r="N9" s="111"/>
      <c r="O9" s="104" t="s">
        <v>174</v>
      </c>
    </row>
    <row r="10">
      <c r="A10" s="104" t="s">
        <v>168</v>
      </c>
      <c r="B10" s="106">
        <v>0.01</v>
      </c>
      <c r="C10" s="106">
        <v>0.02</v>
      </c>
      <c r="D10" s="106">
        <v>7.412</v>
      </c>
      <c r="E10" s="111"/>
      <c r="F10" s="106">
        <v>0.412</v>
      </c>
      <c r="G10" s="106">
        <v>0.746</v>
      </c>
      <c r="H10" s="106">
        <v>0.774</v>
      </c>
      <c r="I10" s="106">
        <v>0.762</v>
      </c>
      <c r="J10" s="106">
        <v>0.668</v>
      </c>
      <c r="K10" s="106">
        <v>0.673</v>
      </c>
      <c r="L10" s="106">
        <v>-0.04</v>
      </c>
      <c r="M10" s="106">
        <v>0.003</v>
      </c>
      <c r="N10" s="106">
        <v>1.0</v>
      </c>
      <c r="O10" s="104" t="s">
        <v>175</v>
      </c>
    </row>
    <row r="11">
      <c r="A11" s="104" t="s">
        <v>168</v>
      </c>
      <c r="B11" s="106">
        <v>0.01</v>
      </c>
      <c r="C11" s="106">
        <v>0.03</v>
      </c>
      <c r="D11" s="106">
        <v>7.416</v>
      </c>
      <c r="E11" s="111"/>
      <c r="F11" s="106">
        <v>0.417</v>
      </c>
      <c r="G11" s="106">
        <v>0.737</v>
      </c>
      <c r="H11" s="106">
        <v>0.777</v>
      </c>
      <c r="I11" s="106">
        <v>0.767</v>
      </c>
      <c r="J11" s="106">
        <v>0.682</v>
      </c>
      <c r="K11" s="106">
        <v>0.676</v>
      </c>
      <c r="L11" s="106">
        <v>-0.035</v>
      </c>
      <c r="M11" s="106">
        <v>0.006</v>
      </c>
      <c r="N11" s="106">
        <v>2.0</v>
      </c>
      <c r="O11" s="104" t="s">
        <v>176</v>
      </c>
    </row>
    <row r="12">
      <c r="A12" s="104" t="s">
        <v>168</v>
      </c>
      <c r="B12" s="106">
        <v>0.01</v>
      </c>
      <c r="C12" s="106">
        <v>0.04</v>
      </c>
      <c r="D12" s="106">
        <v>7.414</v>
      </c>
      <c r="E12" s="111"/>
      <c r="F12" s="106">
        <v>0.414</v>
      </c>
      <c r="G12" s="106">
        <v>0.744</v>
      </c>
      <c r="H12" s="106">
        <v>0.778</v>
      </c>
      <c r="I12" s="106">
        <v>0.766</v>
      </c>
      <c r="J12" s="106">
        <v>0.661</v>
      </c>
      <c r="K12" s="106">
        <v>0.672</v>
      </c>
      <c r="L12" s="106">
        <v>-0.037</v>
      </c>
      <c r="M12" s="106">
        <v>0.002</v>
      </c>
      <c r="N12" s="106">
        <v>1.0</v>
      </c>
      <c r="O12" s="104" t="s">
        <v>177</v>
      </c>
    </row>
    <row r="13">
      <c r="A13" s="104" t="s">
        <v>168</v>
      </c>
      <c r="B13" s="106">
        <v>0.01</v>
      </c>
      <c r="C13" s="106">
        <v>0.05</v>
      </c>
      <c r="D13" s="106">
        <v>7.411</v>
      </c>
      <c r="E13" s="111"/>
      <c r="F13" s="106">
        <v>0.412</v>
      </c>
      <c r="G13" s="106">
        <v>0.743</v>
      </c>
      <c r="H13" s="106">
        <v>0.783</v>
      </c>
      <c r="I13" s="106">
        <v>0.771</v>
      </c>
      <c r="J13" s="106">
        <v>0.653</v>
      </c>
      <c r="K13" s="106">
        <v>0.673</v>
      </c>
      <c r="L13" s="106">
        <v>-0.04</v>
      </c>
      <c r="M13" s="106">
        <v>0.003</v>
      </c>
      <c r="N13" s="106">
        <v>2.0</v>
      </c>
      <c r="O13" s="104" t="s">
        <v>178</v>
      </c>
    </row>
    <row r="14">
      <c r="A14" s="104" t="s">
        <v>168</v>
      </c>
      <c r="B14" s="106">
        <v>0.02</v>
      </c>
      <c r="C14" s="106">
        <v>0.01</v>
      </c>
      <c r="D14" s="106">
        <v>7.409</v>
      </c>
      <c r="E14" s="111"/>
      <c r="F14" s="106">
        <v>0.413</v>
      </c>
      <c r="G14" s="106">
        <v>0.736</v>
      </c>
      <c r="H14" s="106">
        <v>0.779</v>
      </c>
      <c r="I14" s="106">
        <v>0.761</v>
      </c>
      <c r="J14" s="106">
        <v>0.664</v>
      </c>
      <c r="K14" s="106">
        <v>0.671</v>
      </c>
      <c r="L14" s="106">
        <v>-0.042</v>
      </c>
      <c r="M14" s="106">
        <v>0.001</v>
      </c>
      <c r="N14" s="106">
        <v>1.0</v>
      </c>
      <c r="O14" s="104" t="s">
        <v>179</v>
      </c>
    </row>
    <row r="15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</row>
    <row r="16">
      <c r="A16" s="104" t="s">
        <v>180</v>
      </c>
      <c r="B16" s="106">
        <v>0.01</v>
      </c>
      <c r="C16" s="106">
        <v>0.03</v>
      </c>
      <c r="D16" s="106">
        <v>7.416</v>
      </c>
      <c r="E16" s="111"/>
      <c r="F16" s="106">
        <v>0.417</v>
      </c>
      <c r="G16" s="106">
        <v>0.737</v>
      </c>
      <c r="H16" s="106">
        <v>0.777</v>
      </c>
      <c r="I16" s="106">
        <v>0.767</v>
      </c>
      <c r="J16" s="106">
        <v>0.682</v>
      </c>
      <c r="K16" s="106">
        <v>0.676</v>
      </c>
      <c r="L16" s="106">
        <v>-0.035</v>
      </c>
      <c r="M16" s="106">
        <v>0.006</v>
      </c>
      <c r="N16" s="106">
        <v>2.0</v>
      </c>
      <c r="O16" s="104" t="s">
        <v>176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</cols>
  <sheetData>
    <row r="1">
      <c r="A1" s="1" t="s">
        <v>0</v>
      </c>
      <c r="B1" s="1" t="s">
        <v>1</v>
      </c>
      <c r="I1" s="2"/>
      <c r="J1" s="2"/>
      <c r="K1" s="2"/>
      <c r="N1" s="2"/>
    </row>
    <row r="2">
      <c r="C2" s="1" t="s">
        <v>2</v>
      </c>
      <c r="D2" s="1" t="s">
        <v>3</v>
      </c>
      <c r="F2" s="1" t="s">
        <v>4</v>
      </c>
      <c r="G2" s="1" t="s">
        <v>5</v>
      </c>
      <c r="H2" s="1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1" t="s">
        <v>11</v>
      </c>
      <c r="N2" s="3" t="s">
        <v>12</v>
      </c>
    </row>
    <row r="3">
      <c r="B3" s="1" t="s">
        <v>61</v>
      </c>
      <c r="C3" s="1">
        <v>4.845</v>
      </c>
      <c r="D3" s="1">
        <v>7.535</v>
      </c>
      <c r="F3" s="1">
        <v>0.509</v>
      </c>
      <c r="G3" s="1">
        <v>0.802</v>
      </c>
      <c r="H3" s="1">
        <v>0.837</v>
      </c>
      <c r="I3" s="3">
        <v>0.611</v>
      </c>
      <c r="J3" s="3">
        <v>0.753</v>
      </c>
      <c r="K3" s="3">
        <v>0.352</v>
      </c>
      <c r="L3" s="1">
        <v>0.8</v>
      </c>
      <c r="M3" s="1">
        <v>0.686</v>
      </c>
      <c r="N3" s="3">
        <v>0.743</v>
      </c>
    </row>
    <row r="4">
      <c r="A4" s="1" t="s">
        <v>50</v>
      </c>
      <c r="B4" s="1" t="s">
        <v>22</v>
      </c>
      <c r="C4" s="1">
        <v>4.9373</v>
      </c>
      <c r="D4" s="8">
        <v>7.7318</v>
      </c>
      <c r="F4" s="1">
        <v>0.494</v>
      </c>
      <c r="G4" s="1">
        <v>0.7882</v>
      </c>
      <c r="H4" s="1">
        <v>0.8259</v>
      </c>
      <c r="I4" s="3">
        <v>0.6042</v>
      </c>
      <c r="J4" s="3">
        <v>0.7512</v>
      </c>
      <c r="K4" s="3">
        <v>0.354</v>
      </c>
      <c r="L4" s="8">
        <v>0.7997</v>
      </c>
      <c r="M4" s="1">
        <v>0.7003</v>
      </c>
      <c r="N4" s="3">
        <v>0.7426</v>
      </c>
    </row>
    <row r="5">
      <c r="B5" s="1" t="s">
        <v>181</v>
      </c>
      <c r="C5" s="1">
        <v>4.9369</v>
      </c>
      <c r="D5" s="1">
        <v>7.7337</v>
      </c>
      <c r="F5" s="1">
        <v>0.4931</v>
      </c>
      <c r="G5" s="1">
        <v>0.7912</v>
      </c>
      <c r="H5" s="1">
        <v>0.8266</v>
      </c>
      <c r="I5" s="3">
        <v>0.6032</v>
      </c>
      <c r="J5" s="11">
        <v>0.7517</v>
      </c>
      <c r="K5" s="11">
        <v>0.36</v>
      </c>
      <c r="L5" s="8">
        <v>0.7997</v>
      </c>
      <c r="M5" s="8">
        <v>0.7004</v>
      </c>
      <c r="N5" s="11">
        <v>0.7466</v>
      </c>
    </row>
    <row r="6">
      <c r="B6" s="1" t="s">
        <v>182</v>
      </c>
      <c r="C6" s="8">
        <v>4.9367</v>
      </c>
      <c r="D6" s="1">
        <v>7.7363</v>
      </c>
      <c r="F6" s="8">
        <v>0.4948</v>
      </c>
      <c r="G6" s="8">
        <v>0.7958</v>
      </c>
      <c r="H6" s="8">
        <v>0.8269</v>
      </c>
      <c r="I6" s="11">
        <v>0.6065</v>
      </c>
      <c r="J6" s="3">
        <v>0.7514</v>
      </c>
      <c r="K6" s="3">
        <v>0.356</v>
      </c>
      <c r="L6" s="1">
        <v>0.7981</v>
      </c>
      <c r="M6" s="1">
        <v>0.6967</v>
      </c>
      <c r="N6" s="3">
        <v>0.7442</v>
      </c>
    </row>
    <row r="7">
      <c r="I7" s="2"/>
      <c r="J7" s="2"/>
      <c r="K7" s="2"/>
      <c r="N7" s="2"/>
    </row>
    <row r="8">
      <c r="I8" s="2"/>
      <c r="J8" s="2"/>
      <c r="K8" s="2"/>
      <c r="N8" s="2"/>
    </row>
    <row r="9">
      <c r="I9" s="2"/>
      <c r="J9" s="2"/>
      <c r="K9" s="2"/>
      <c r="N9" s="2"/>
    </row>
    <row r="10">
      <c r="A10" s="1" t="s">
        <v>183</v>
      </c>
      <c r="B10" s="1" t="s">
        <v>61</v>
      </c>
      <c r="C10" s="1">
        <v>5.442</v>
      </c>
      <c r="D10" s="1">
        <v>8.346</v>
      </c>
      <c r="F10" s="1">
        <v>0.505</v>
      </c>
      <c r="G10" s="1">
        <v>0.8</v>
      </c>
      <c r="H10" s="1">
        <v>0.813</v>
      </c>
      <c r="I10" s="3">
        <v>0.601</v>
      </c>
      <c r="J10" s="3">
        <v>0.76</v>
      </c>
      <c r="K10" s="3">
        <v>0.348</v>
      </c>
      <c r="L10" s="1">
        <v>0.796</v>
      </c>
      <c r="M10" s="1">
        <v>0.696</v>
      </c>
      <c r="N10" s="3">
        <v>0.726</v>
      </c>
    </row>
    <row r="11">
      <c r="B11" s="1" t="s">
        <v>22</v>
      </c>
      <c r="C11" s="1">
        <v>5.7822</v>
      </c>
      <c r="D11" s="1">
        <v>9.3216</v>
      </c>
      <c r="F11" s="1">
        <v>0.5</v>
      </c>
      <c r="G11" s="8">
        <v>0.8059</v>
      </c>
      <c r="H11" s="1">
        <v>0.8088</v>
      </c>
      <c r="I11" s="3">
        <v>0.5979</v>
      </c>
      <c r="J11" s="3">
        <v>0.7434</v>
      </c>
      <c r="K11" s="3">
        <v>0.33</v>
      </c>
      <c r="L11" s="1">
        <v>0.785</v>
      </c>
      <c r="M11" s="1">
        <v>0.675</v>
      </c>
      <c r="N11" s="11">
        <v>0.7371</v>
      </c>
    </row>
    <row r="12">
      <c r="B12" s="1" t="s">
        <v>181</v>
      </c>
      <c r="C12" s="1">
        <v>5.778</v>
      </c>
      <c r="D12" s="1">
        <v>9.2722</v>
      </c>
      <c r="F12" s="1">
        <v>0.5</v>
      </c>
      <c r="G12" s="1">
        <v>0.7954</v>
      </c>
      <c r="H12" s="1">
        <v>0.8094</v>
      </c>
      <c r="I12" s="1">
        <v>0.5979</v>
      </c>
      <c r="J12" s="8">
        <v>0.7465</v>
      </c>
      <c r="K12" s="8">
        <v>0.34</v>
      </c>
      <c r="L12" s="1">
        <v>0.785</v>
      </c>
      <c r="M12" s="1">
        <v>0.6714</v>
      </c>
      <c r="N12" s="1">
        <v>0.7237</v>
      </c>
    </row>
    <row r="13">
      <c r="B13" s="1" t="s">
        <v>184</v>
      </c>
      <c r="C13" s="8">
        <v>5.7779</v>
      </c>
      <c r="D13" s="8">
        <v>9.2722</v>
      </c>
      <c r="F13" s="8">
        <v>0.5059</v>
      </c>
      <c r="G13" s="1">
        <v>0.8013</v>
      </c>
      <c r="H13" s="8">
        <v>0.8211</v>
      </c>
      <c r="I13" s="11">
        <v>0.6</v>
      </c>
      <c r="J13" s="3">
        <v>0.7433</v>
      </c>
      <c r="K13" s="3">
        <v>0.326</v>
      </c>
      <c r="L13" s="8">
        <v>0.7889</v>
      </c>
      <c r="M13" s="8">
        <v>0.7004</v>
      </c>
      <c r="N13" s="3">
        <v>0.734</v>
      </c>
    </row>
    <row r="14">
      <c r="I14" s="2"/>
      <c r="J14" s="2"/>
      <c r="K14" s="2"/>
      <c r="N14" s="2"/>
    </row>
    <row r="15">
      <c r="C15" s="72"/>
      <c r="D15" s="72"/>
      <c r="I15" s="2"/>
      <c r="J15" s="2"/>
      <c r="K15" s="2"/>
      <c r="N15" s="2"/>
    </row>
    <row r="16">
      <c r="A16" s="1" t="s">
        <v>185</v>
      </c>
      <c r="B16" s="1" t="s">
        <v>61</v>
      </c>
      <c r="C16" s="75">
        <f>23.1382/4</f>
        <v>5.78455</v>
      </c>
      <c r="D16" s="75">
        <f>36.1769/4</f>
        <v>9.044225</v>
      </c>
      <c r="F16" s="1">
        <v>0.4803</v>
      </c>
      <c r="G16" s="1">
        <v>0.8042</v>
      </c>
      <c r="H16" s="1">
        <v>0.8461</v>
      </c>
      <c r="I16" s="3">
        <v>0.5997</v>
      </c>
      <c r="J16" s="3">
        <v>0.7176</v>
      </c>
      <c r="K16" s="3">
        <v>0.336</v>
      </c>
      <c r="L16" s="1">
        <v>0.7867</v>
      </c>
      <c r="M16" s="1">
        <v>0.8122</v>
      </c>
      <c r="N16" s="3">
        <v>0.73</v>
      </c>
    </row>
    <row r="17">
      <c r="B17" s="1" t="s">
        <v>22</v>
      </c>
      <c r="C17" s="75">
        <f>23.4428/4</f>
        <v>5.8607</v>
      </c>
      <c r="D17" s="75">
        <f>36.7397/4</f>
        <v>9.184925</v>
      </c>
      <c r="F17" s="1">
        <v>0.4675</v>
      </c>
      <c r="G17" s="1">
        <v>0.7908</v>
      </c>
      <c r="H17" s="8">
        <v>0.8394</v>
      </c>
      <c r="I17" s="3">
        <v>0.5933</v>
      </c>
      <c r="J17" s="3">
        <v>0.699</v>
      </c>
      <c r="K17" s="11">
        <v>0.338</v>
      </c>
      <c r="L17" s="8">
        <v>0.7861</v>
      </c>
      <c r="M17" s="8">
        <v>0.8303</v>
      </c>
      <c r="N17" s="3">
        <v>0.7071</v>
      </c>
    </row>
    <row r="18">
      <c r="B18" s="1" t="s">
        <v>181</v>
      </c>
      <c r="C18" s="74">
        <f>23.3717/4</f>
        <v>5.842925</v>
      </c>
      <c r="D18" s="72">
        <f>36.635/4</f>
        <v>9.15875</v>
      </c>
      <c r="F18" s="8">
        <v>0.4701</v>
      </c>
      <c r="G18" s="1">
        <v>0.7899</v>
      </c>
      <c r="H18" s="1">
        <v>0.8357</v>
      </c>
      <c r="I18" s="8">
        <v>0.5963</v>
      </c>
      <c r="J18" s="1">
        <v>0.6968</v>
      </c>
      <c r="K18" s="1">
        <v>0.308</v>
      </c>
      <c r="L18" s="1">
        <v>0.7867</v>
      </c>
      <c r="M18" s="1">
        <v>0.8194</v>
      </c>
      <c r="N18" s="1">
        <v>0.7174</v>
      </c>
    </row>
    <row r="19">
      <c r="B19" s="1" t="s">
        <v>186</v>
      </c>
      <c r="C19" s="112">
        <f>23.4247/4</f>
        <v>5.856175</v>
      </c>
      <c r="D19" s="113">
        <f>36.6327/4</f>
        <v>9.158175</v>
      </c>
      <c r="F19" s="1">
        <v>0.4684</v>
      </c>
      <c r="G19" s="8">
        <v>0.7929</v>
      </c>
      <c r="H19" s="1">
        <v>0.8376</v>
      </c>
      <c r="I19" s="3">
        <v>0.5943</v>
      </c>
      <c r="J19" s="11">
        <v>0.7044</v>
      </c>
      <c r="K19" s="3">
        <v>0.334</v>
      </c>
      <c r="L19" s="1">
        <v>0.7807</v>
      </c>
      <c r="M19" s="1">
        <v>0.805</v>
      </c>
      <c r="N19" s="11">
        <v>0.7198</v>
      </c>
    </row>
    <row r="20">
      <c r="A20" s="114"/>
      <c r="B20" s="115"/>
      <c r="C20" s="115"/>
      <c r="D20" s="115"/>
      <c r="E20" s="114"/>
      <c r="F20" s="114"/>
      <c r="G20" s="114"/>
      <c r="H20" s="114"/>
      <c r="I20" s="116"/>
      <c r="J20" s="116"/>
      <c r="K20" s="116"/>
      <c r="L20" s="114"/>
      <c r="M20" s="114"/>
      <c r="N20" s="116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</row>
    <row r="21">
      <c r="I21" s="2"/>
      <c r="J21" s="2"/>
      <c r="K21" s="2"/>
      <c r="N21" s="2"/>
    </row>
    <row r="22">
      <c r="I22" s="2"/>
      <c r="J22" s="2"/>
      <c r="K22" s="2"/>
      <c r="N22" s="2"/>
    </row>
    <row r="23">
      <c r="I23" s="2"/>
      <c r="J23" s="2"/>
      <c r="K23" s="2"/>
      <c r="N23" s="2"/>
    </row>
    <row r="24">
      <c r="I24" s="2"/>
      <c r="J24" s="2"/>
      <c r="K24" s="2"/>
      <c r="N24" s="2"/>
    </row>
    <row r="25">
      <c r="I25" s="2"/>
      <c r="J25" s="2"/>
      <c r="K25" s="2"/>
      <c r="N25" s="2"/>
    </row>
    <row r="26">
      <c r="I26" s="2"/>
      <c r="J26" s="2"/>
      <c r="K26" s="2"/>
      <c r="N26" s="2"/>
    </row>
    <row r="27">
      <c r="I27" s="2"/>
      <c r="J27" s="2"/>
      <c r="K27" s="2"/>
      <c r="N27" s="2"/>
    </row>
    <row r="28">
      <c r="I28" s="2"/>
      <c r="J28" s="2"/>
      <c r="K28" s="2"/>
      <c r="N28" s="2"/>
    </row>
    <row r="29">
      <c r="I29" s="2"/>
      <c r="J29" s="2"/>
      <c r="K29" s="2"/>
      <c r="N29" s="2"/>
    </row>
    <row r="30">
      <c r="I30" s="2"/>
      <c r="J30" s="2"/>
      <c r="K30" s="2"/>
      <c r="N30" s="2"/>
    </row>
    <row r="31">
      <c r="I31" s="2"/>
      <c r="J31" s="2"/>
      <c r="K31" s="2"/>
      <c r="N31" s="2"/>
    </row>
    <row r="32">
      <c r="I32" s="2"/>
      <c r="J32" s="2"/>
      <c r="K32" s="2"/>
      <c r="N32" s="2"/>
    </row>
    <row r="33">
      <c r="I33" s="2"/>
      <c r="J33" s="2"/>
      <c r="K33" s="2"/>
      <c r="N33" s="2"/>
    </row>
    <row r="34">
      <c r="I34" s="2"/>
      <c r="J34" s="2"/>
      <c r="K34" s="2"/>
      <c r="N34" s="2"/>
    </row>
    <row r="35">
      <c r="I35" s="2"/>
      <c r="J35" s="2"/>
      <c r="K35" s="2"/>
      <c r="N35" s="2"/>
    </row>
    <row r="36">
      <c r="I36" s="2"/>
      <c r="J36" s="2"/>
      <c r="K36" s="2"/>
      <c r="N36" s="2"/>
    </row>
    <row r="37">
      <c r="I37" s="2"/>
      <c r="J37" s="2"/>
      <c r="K37" s="2"/>
      <c r="N37" s="2"/>
    </row>
    <row r="38">
      <c r="I38" s="2"/>
      <c r="J38" s="2"/>
      <c r="K38" s="2"/>
      <c r="N38" s="2"/>
    </row>
    <row r="39">
      <c r="I39" s="2"/>
      <c r="J39" s="2"/>
      <c r="K39" s="2"/>
      <c r="N39" s="2"/>
    </row>
    <row r="40">
      <c r="I40" s="2"/>
      <c r="J40" s="2"/>
      <c r="K40" s="2"/>
      <c r="N40" s="2"/>
    </row>
    <row r="41">
      <c r="I41" s="2"/>
      <c r="J41" s="2"/>
      <c r="K41" s="2"/>
      <c r="N41" s="2"/>
    </row>
    <row r="42">
      <c r="I42" s="2"/>
      <c r="J42" s="2"/>
      <c r="K42" s="2"/>
      <c r="N42" s="2"/>
    </row>
    <row r="43">
      <c r="I43" s="2"/>
      <c r="J43" s="2"/>
      <c r="K43" s="2"/>
      <c r="N43" s="2"/>
    </row>
    <row r="44">
      <c r="I44" s="2"/>
      <c r="J44" s="2"/>
      <c r="K44" s="2"/>
      <c r="N44" s="2"/>
    </row>
    <row r="45">
      <c r="I45" s="2"/>
      <c r="J45" s="2"/>
      <c r="K45" s="2"/>
      <c r="N45" s="2"/>
    </row>
    <row r="46">
      <c r="I46" s="2"/>
      <c r="J46" s="2"/>
      <c r="K46" s="2"/>
      <c r="N46" s="2"/>
    </row>
    <row r="47">
      <c r="I47" s="2"/>
      <c r="J47" s="2"/>
      <c r="K47" s="2"/>
      <c r="N47" s="2"/>
    </row>
    <row r="48">
      <c r="I48" s="2"/>
      <c r="J48" s="2"/>
      <c r="K48" s="2"/>
      <c r="N48" s="2"/>
    </row>
    <row r="49">
      <c r="I49" s="2"/>
      <c r="J49" s="2"/>
      <c r="K49" s="2"/>
      <c r="N49" s="2"/>
    </row>
    <row r="50">
      <c r="I50" s="2"/>
      <c r="J50" s="2"/>
      <c r="K50" s="2"/>
      <c r="N50" s="2"/>
    </row>
    <row r="51">
      <c r="I51" s="2"/>
      <c r="J51" s="2"/>
      <c r="K51" s="2"/>
      <c r="N51" s="2"/>
    </row>
    <row r="52">
      <c r="I52" s="2"/>
      <c r="J52" s="2"/>
      <c r="K52" s="2"/>
      <c r="N52" s="2"/>
    </row>
    <row r="53">
      <c r="I53" s="2"/>
      <c r="J53" s="2"/>
      <c r="K53" s="2"/>
      <c r="N53" s="2"/>
    </row>
    <row r="54">
      <c r="I54" s="2"/>
      <c r="J54" s="2"/>
      <c r="K54" s="2"/>
      <c r="N54" s="2"/>
    </row>
    <row r="55">
      <c r="I55" s="2"/>
      <c r="J55" s="2"/>
      <c r="K55" s="2"/>
      <c r="N55" s="2"/>
    </row>
    <row r="56">
      <c r="I56" s="2"/>
      <c r="J56" s="2"/>
      <c r="K56" s="2"/>
      <c r="N56" s="2"/>
    </row>
    <row r="57">
      <c r="I57" s="2"/>
      <c r="J57" s="2"/>
      <c r="K57" s="2"/>
      <c r="N57" s="2"/>
    </row>
    <row r="58">
      <c r="I58" s="2"/>
      <c r="J58" s="2"/>
      <c r="K58" s="2"/>
      <c r="N58" s="2"/>
    </row>
    <row r="59">
      <c r="I59" s="2"/>
      <c r="J59" s="2"/>
      <c r="K59" s="2"/>
      <c r="N59" s="2"/>
    </row>
    <row r="60">
      <c r="I60" s="2"/>
      <c r="J60" s="2"/>
      <c r="K60" s="2"/>
      <c r="N60" s="2"/>
    </row>
    <row r="61">
      <c r="I61" s="2"/>
      <c r="J61" s="2"/>
      <c r="K61" s="2"/>
      <c r="N61" s="2"/>
    </row>
    <row r="62">
      <c r="I62" s="2"/>
      <c r="J62" s="2"/>
      <c r="K62" s="2"/>
      <c r="N62" s="2"/>
    </row>
    <row r="63">
      <c r="I63" s="2"/>
      <c r="J63" s="2"/>
      <c r="K63" s="2"/>
      <c r="N63" s="2"/>
    </row>
    <row r="64">
      <c r="I64" s="2"/>
      <c r="J64" s="2"/>
      <c r="K64" s="2"/>
      <c r="N64" s="2"/>
    </row>
    <row r="65">
      <c r="I65" s="2"/>
      <c r="J65" s="2"/>
      <c r="K65" s="2"/>
      <c r="N65" s="2"/>
    </row>
    <row r="66">
      <c r="I66" s="2"/>
      <c r="J66" s="2"/>
      <c r="K66" s="2"/>
      <c r="N66" s="2"/>
    </row>
    <row r="67">
      <c r="I67" s="2"/>
      <c r="J67" s="2"/>
      <c r="K67" s="2"/>
      <c r="N67" s="2"/>
    </row>
    <row r="68">
      <c r="I68" s="2"/>
      <c r="J68" s="2"/>
      <c r="K68" s="2"/>
      <c r="N68" s="2"/>
    </row>
    <row r="69">
      <c r="I69" s="2"/>
      <c r="J69" s="2"/>
      <c r="K69" s="2"/>
      <c r="N69" s="2"/>
    </row>
    <row r="70">
      <c r="I70" s="2"/>
      <c r="J70" s="2"/>
      <c r="K70" s="2"/>
      <c r="N70" s="2"/>
    </row>
    <row r="71">
      <c r="I71" s="2"/>
      <c r="J71" s="2"/>
      <c r="K71" s="2"/>
      <c r="N71" s="2"/>
    </row>
    <row r="72">
      <c r="I72" s="2"/>
      <c r="J72" s="2"/>
      <c r="K72" s="2"/>
      <c r="N72" s="2"/>
    </row>
    <row r="73">
      <c r="I73" s="2"/>
      <c r="J73" s="2"/>
      <c r="K73" s="2"/>
      <c r="N73" s="2"/>
    </row>
    <row r="74">
      <c r="I74" s="2"/>
      <c r="J74" s="2"/>
      <c r="K74" s="2"/>
      <c r="N74" s="2"/>
    </row>
    <row r="75">
      <c r="I75" s="2"/>
      <c r="J75" s="2"/>
      <c r="K75" s="2"/>
      <c r="N75" s="2"/>
    </row>
    <row r="76">
      <c r="I76" s="2"/>
      <c r="J76" s="2"/>
      <c r="K76" s="2"/>
      <c r="N76" s="2"/>
    </row>
    <row r="77">
      <c r="I77" s="2"/>
      <c r="J77" s="2"/>
      <c r="K77" s="2"/>
      <c r="N77" s="2"/>
    </row>
    <row r="78">
      <c r="I78" s="2"/>
      <c r="J78" s="2"/>
      <c r="K78" s="2"/>
      <c r="N78" s="2"/>
    </row>
    <row r="79">
      <c r="I79" s="2"/>
      <c r="J79" s="2"/>
      <c r="K79" s="2"/>
      <c r="N79" s="2"/>
    </row>
    <row r="80">
      <c r="I80" s="2"/>
      <c r="J80" s="2"/>
      <c r="K80" s="2"/>
      <c r="N80" s="2"/>
    </row>
    <row r="81">
      <c r="I81" s="2"/>
      <c r="J81" s="2"/>
      <c r="K81" s="2"/>
      <c r="N81" s="2"/>
    </row>
    <row r="82">
      <c r="I82" s="2"/>
      <c r="J82" s="2"/>
      <c r="K82" s="2"/>
      <c r="N82" s="2"/>
    </row>
    <row r="83">
      <c r="I83" s="2"/>
      <c r="J83" s="2"/>
      <c r="K83" s="2"/>
      <c r="N83" s="2"/>
    </row>
    <row r="84">
      <c r="I84" s="2"/>
      <c r="J84" s="2"/>
      <c r="K84" s="2"/>
      <c r="N84" s="2"/>
    </row>
    <row r="85">
      <c r="I85" s="2"/>
      <c r="J85" s="2"/>
      <c r="K85" s="2"/>
      <c r="N85" s="2"/>
    </row>
    <row r="86">
      <c r="I86" s="2"/>
      <c r="J86" s="2"/>
      <c r="K86" s="2"/>
      <c r="N86" s="2"/>
    </row>
    <row r="87">
      <c r="I87" s="2"/>
      <c r="J87" s="2"/>
      <c r="K87" s="2"/>
      <c r="N87" s="2"/>
    </row>
    <row r="88">
      <c r="I88" s="2"/>
      <c r="J88" s="2"/>
      <c r="K88" s="2"/>
      <c r="N88" s="2"/>
    </row>
    <row r="89">
      <c r="I89" s="2"/>
      <c r="J89" s="2"/>
      <c r="K89" s="2"/>
      <c r="N89" s="2"/>
    </row>
    <row r="90">
      <c r="I90" s="2"/>
      <c r="J90" s="2"/>
      <c r="K90" s="2"/>
      <c r="N90" s="2"/>
    </row>
    <row r="91">
      <c r="I91" s="2"/>
      <c r="J91" s="2"/>
      <c r="K91" s="2"/>
      <c r="N91" s="2"/>
    </row>
    <row r="92">
      <c r="I92" s="2"/>
      <c r="J92" s="2"/>
      <c r="K92" s="2"/>
      <c r="N92" s="2"/>
    </row>
    <row r="93">
      <c r="I93" s="2"/>
      <c r="J93" s="2"/>
      <c r="K93" s="2"/>
      <c r="N93" s="2"/>
    </row>
    <row r="94">
      <c r="I94" s="2"/>
      <c r="J94" s="2"/>
      <c r="K94" s="2"/>
      <c r="N94" s="2"/>
    </row>
    <row r="95">
      <c r="I95" s="2"/>
      <c r="J95" s="2"/>
      <c r="K95" s="2"/>
      <c r="N95" s="2"/>
    </row>
    <row r="96">
      <c r="I96" s="2"/>
      <c r="J96" s="2"/>
      <c r="K96" s="2"/>
      <c r="N96" s="2"/>
    </row>
    <row r="97">
      <c r="I97" s="2"/>
      <c r="J97" s="2"/>
      <c r="K97" s="2"/>
      <c r="N97" s="2"/>
    </row>
    <row r="98">
      <c r="I98" s="2"/>
      <c r="J98" s="2"/>
      <c r="K98" s="2"/>
      <c r="N98" s="2"/>
    </row>
    <row r="99">
      <c r="I99" s="2"/>
      <c r="J99" s="2"/>
      <c r="K99" s="2"/>
      <c r="N99" s="2"/>
    </row>
    <row r="100">
      <c r="I100" s="2"/>
      <c r="J100" s="2"/>
      <c r="K100" s="2"/>
      <c r="N100" s="2"/>
    </row>
    <row r="101">
      <c r="I101" s="2"/>
      <c r="J101" s="2"/>
      <c r="K101" s="2"/>
      <c r="N101" s="2"/>
    </row>
    <row r="102">
      <c r="I102" s="2"/>
      <c r="J102" s="2"/>
      <c r="K102" s="2"/>
      <c r="N102" s="2"/>
    </row>
    <row r="103">
      <c r="I103" s="2"/>
      <c r="J103" s="2"/>
      <c r="K103" s="2"/>
      <c r="N103" s="2"/>
    </row>
    <row r="104">
      <c r="I104" s="2"/>
      <c r="J104" s="2"/>
      <c r="K104" s="2"/>
      <c r="N104" s="2"/>
    </row>
    <row r="105">
      <c r="I105" s="2"/>
      <c r="J105" s="2"/>
      <c r="K105" s="2"/>
      <c r="N105" s="2"/>
    </row>
    <row r="106">
      <c r="I106" s="2"/>
      <c r="J106" s="2"/>
      <c r="K106" s="2"/>
      <c r="N106" s="2"/>
    </row>
    <row r="107">
      <c r="I107" s="2"/>
      <c r="J107" s="2"/>
      <c r="K107" s="2"/>
      <c r="N107" s="2"/>
    </row>
    <row r="108">
      <c r="I108" s="2"/>
      <c r="J108" s="2"/>
      <c r="K108" s="2"/>
      <c r="N108" s="2"/>
    </row>
    <row r="109">
      <c r="I109" s="2"/>
      <c r="J109" s="2"/>
      <c r="K109" s="2"/>
      <c r="N109" s="2"/>
    </row>
    <row r="110">
      <c r="I110" s="2"/>
      <c r="J110" s="2"/>
      <c r="K110" s="2"/>
      <c r="N110" s="2"/>
    </row>
    <row r="111">
      <c r="I111" s="2"/>
      <c r="J111" s="2"/>
      <c r="K111" s="2"/>
      <c r="N111" s="2"/>
    </row>
    <row r="112">
      <c r="I112" s="2"/>
      <c r="J112" s="2"/>
      <c r="K112" s="2"/>
      <c r="N112" s="2"/>
    </row>
    <row r="113">
      <c r="I113" s="2"/>
      <c r="J113" s="2"/>
      <c r="K113" s="2"/>
      <c r="N113" s="2"/>
    </row>
    <row r="114">
      <c r="I114" s="2"/>
      <c r="J114" s="2"/>
      <c r="K114" s="2"/>
      <c r="N114" s="2"/>
    </row>
    <row r="115">
      <c r="I115" s="2"/>
      <c r="J115" s="2"/>
      <c r="K115" s="2"/>
      <c r="N115" s="2"/>
    </row>
    <row r="116">
      <c r="I116" s="2"/>
      <c r="J116" s="2"/>
      <c r="K116" s="2"/>
      <c r="N116" s="2"/>
    </row>
    <row r="117">
      <c r="I117" s="2"/>
      <c r="J117" s="2"/>
      <c r="K117" s="2"/>
      <c r="N117" s="2"/>
    </row>
    <row r="118">
      <c r="I118" s="2"/>
      <c r="J118" s="2"/>
      <c r="K118" s="2"/>
      <c r="N118" s="2"/>
    </row>
    <row r="119">
      <c r="I119" s="2"/>
      <c r="J119" s="2"/>
      <c r="K119" s="2"/>
      <c r="N119" s="2"/>
    </row>
    <row r="120">
      <c r="I120" s="2"/>
      <c r="J120" s="2"/>
      <c r="K120" s="2"/>
      <c r="N120" s="2"/>
    </row>
    <row r="121">
      <c r="I121" s="2"/>
      <c r="J121" s="2"/>
      <c r="K121" s="2"/>
      <c r="N121" s="2"/>
    </row>
    <row r="122">
      <c r="I122" s="2"/>
      <c r="J122" s="2"/>
      <c r="K122" s="2"/>
      <c r="N122" s="2"/>
    </row>
    <row r="123">
      <c r="I123" s="2"/>
      <c r="J123" s="2"/>
      <c r="K123" s="2"/>
      <c r="N123" s="2"/>
    </row>
    <row r="124">
      <c r="I124" s="2"/>
      <c r="J124" s="2"/>
      <c r="K124" s="2"/>
      <c r="N124" s="2"/>
    </row>
    <row r="125">
      <c r="I125" s="2"/>
      <c r="J125" s="2"/>
      <c r="K125" s="2"/>
      <c r="N125" s="2"/>
    </row>
    <row r="126">
      <c r="I126" s="2"/>
      <c r="J126" s="2"/>
      <c r="K126" s="2"/>
      <c r="N126" s="2"/>
    </row>
    <row r="127">
      <c r="I127" s="2"/>
      <c r="J127" s="2"/>
      <c r="K127" s="2"/>
      <c r="N127" s="2"/>
    </row>
    <row r="128">
      <c r="I128" s="2"/>
      <c r="J128" s="2"/>
      <c r="K128" s="2"/>
      <c r="N128" s="2"/>
    </row>
    <row r="129">
      <c r="I129" s="2"/>
      <c r="J129" s="2"/>
      <c r="K129" s="2"/>
      <c r="N129" s="2"/>
    </row>
    <row r="130">
      <c r="I130" s="2"/>
      <c r="J130" s="2"/>
      <c r="K130" s="2"/>
      <c r="N130" s="2"/>
    </row>
    <row r="131">
      <c r="I131" s="2"/>
      <c r="J131" s="2"/>
      <c r="K131" s="2"/>
      <c r="N131" s="2"/>
    </row>
    <row r="132">
      <c r="I132" s="2"/>
      <c r="J132" s="2"/>
      <c r="K132" s="2"/>
      <c r="N132" s="2"/>
    </row>
    <row r="133">
      <c r="I133" s="2"/>
      <c r="J133" s="2"/>
      <c r="K133" s="2"/>
      <c r="N133" s="2"/>
    </row>
    <row r="134">
      <c r="I134" s="2"/>
      <c r="J134" s="2"/>
      <c r="K134" s="2"/>
      <c r="N134" s="2"/>
    </row>
    <row r="135">
      <c r="I135" s="2"/>
      <c r="J135" s="2"/>
      <c r="K135" s="2"/>
      <c r="N135" s="2"/>
    </row>
    <row r="136">
      <c r="I136" s="2"/>
      <c r="J136" s="2"/>
      <c r="K136" s="2"/>
      <c r="N136" s="2"/>
    </row>
    <row r="137">
      <c r="I137" s="2"/>
      <c r="J137" s="2"/>
      <c r="K137" s="2"/>
      <c r="N137" s="2"/>
    </row>
    <row r="138">
      <c r="I138" s="2"/>
      <c r="J138" s="2"/>
      <c r="K138" s="2"/>
      <c r="N138" s="2"/>
    </row>
    <row r="139">
      <c r="I139" s="2"/>
      <c r="J139" s="2"/>
      <c r="K139" s="2"/>
      <c r="N139" s="2"/>
    </row>
    <row r="140">
      <c r="I140" s="2"/>
      <c r="J140" s="2"/>
      <c r="K140" s="2"/>
      <c r="N140" s="2"/>
    </row>
    <row r="141">
      <c r="I141" s="2"/>
      <c r="J141" s="2"/>
      <c r="K141" s="2"/>
      <c r="N141" s="2"/>
    </row>
    <row r="142">
      <c r="I142" s="2"/>
      <c r="J142" s="2"/>
      <c r="K142" s="2"/>
      <c r="N142" s="2"/>
    </row>
    <row r="143">
      <c r="I143" s="2"/>
      <c r="J143" s="2"/>
      <c r="K143" s="2"/>
      <c r="N143" s="2"/>
    </row>
    <row r="144">
      <c r="I144" s="2"/>
      <c r="J144" s="2"/>
      <c r="K144" s="2"/>
      <c r="N144" s="2"/>
    </row>
    <row r="145">
      <c r="I145" s="2"/>
      <c r="J145" s="2"/>
      <c r="K145" s="2"/>
      <c r="N145" s="2"/>
    </row>
    <row r="146">
      <c r="I146" s="2"/>
      <c r="J146" s="2"/>
      <c r="K146" s="2"/>
      <c r="N146" s="2"/>
    </row>
    <row r="147">
      <c r="I147" s="2"/>
      <c r="J147" s="2"/>
      <c r="K147" s="2"/>
      <c r="N147" s="2"/>
    </row>
    <row r="148">
      <c r="I148" s="2"/>
      <c r="J148" s="2"/>
      <c r="K148" s="2"/>
      <c r="N148" s="2"/>
    </row>
    <row r="149">
      <c r="I149" s="2"/>
      <c r="J149" s="2"/>
      <c r="K149" s="2"/>
      <c r="N149" s="2"/>
    </row>
    <row r="150">
      <c r="I150" s="2"/>
      <c r="J150" s="2"/>
      <c r="K150" s="2"/>
      <c r="N150" s="2"/>
    </row>
    <row r="151">
      <c r="I151" s="2"/>
      <c r="J151" s="2"/>
      <c r="K151" s="2"/>
      <c r="N151" s="2"/>
    </row>
    <row r="152">
      <c r="I152" s="2"/>
      <c r="J152" s="2"/>
      <c r="K152" s="2"/>
      <c r="N152" s="2"/>
    </row>
    <row r="153">
      <c r="I153" s="2"/>
      <c r="J153" s="2"/>
      <c r="K153" s="2"/>
      <c r="N153" s="2"/>
    </row>
    <row r="154">
      <c r="I154" s="2"/>
      <c r="J154" s="2"/>
      <c r="K154" s="2"/>
      <c r="N154" s="2"/>
    </row>
    <row r="155">
      <c r="I155" s="2"/>
      <c r="J155" s="2"/>
      <c r="K155" s="2"/>
      <c r="N155" s="2"/>
    </row>
    <row r="156">
      <c r="I156" s="2"/>
      <c r="J156" s="2"/>
      <c r="K156" s="2"/>
      <c r="N156" s="2"/>
    </row>
    <row r="157">
      <c r="I157" s="2"/>
      <c r="J157" s="2"/>
      <c r="K157" s="2"/>
      <c r="N157" s="2"/>
    </row>
    <row r="158">
      <c r="I158" s="2"/>
      <c r="J158" s="2"/>
      <c r="K158" s="2"/>
      <c r="N158" s="2"/>
    </row>
    <row r="159">
      <c r="I159" s="2"/>
      <c r="J159" s="2"/>
      <c r="K159" s="2"/>
      <c r="N159" s="2"/>
    </row>
    <row r="160">
      <c r="I160" s="2"/>
      <c r="J160" s="2"/>
      <c r="K160" s="2"/>
      <c r="N160" s="2"/>
    </row>
    <row r="161">
      <c r="I161" s="2"/>
      <c r="J161" s="2"/>
      <c r="K161" s="2"/>
      <c r="N161" s="2"/>
    </row>
    <row r="162">
      <c r="I162" s="2"/>
      <c r="J162" s="2"/>
      <c r="K162" s="2"/>
      <c r="N162" s="2"/>
    </row>
    <row r="163">
      <c r="I163" s="2"/>
      <c r="J163" s="2"/>
      <c r="K163" s="2"/>
      <c r="N163" s="2"/>
    </row>
    <row r="164">
      <c r="I164" s="2"/>
      <c r="J164" s="2"/>
      <c r="K164" s="2"/>
      <c r="N164" s="2"/>
    </row>
    <row r="165">
      <c r="I165" s="2"/>
      <c r="J165" s="2"/>
      <c r="K165" s="2"/>
      <c r="N165" s="2"/>
    </row>
    <row r="166">
      <c r="I166" s="2"/>
      <c r="J166" s="2"/>
      <c r="K166" s="2"/>
      <c r="N166" s="2"/>
    </row>
    <row r="167">
      <c r="I167" s="2"/>
      <c r="J167" s="2"/>
      <c r="K167" s="2"/>
      <c r="N167" s="2"/>
    </row>
    <row r="168">
      <c r="I168" s="2"/>
      <c r="J168" s="2"/>
      <c r="K168" s="2"/>
      <c r="N168" s="2"/>
    </row>
    <row r="169">
      <c r="I169" s="2"/>
      <c r="J169" s="2"/>
      <c r="K169" s="2"/>
      <c r="N169" s="2"/>
    </row>
    <row r="170">
      <c r="I170" s="2"/>
      <c r="J170" s="2"/>
      <c r="K170" s="2"/>
      <c r="N170" s="2"/>
    </row>
    <row r="171">
      <c r="I171" s="2"/>
      <c r="J171" s="2"/>
      <c r="K171" s="2"/>
      <c r="N171" s="2"/>
    </row>
    <row r="172">
      <c r="I172" s="2"/>
      <c r="J172" s="2"/>
      <c r="K172" s="2"/>
      <c r="N172" s="2"/>
    </row>
    <row r="173">
      <c r="I173" s="2"/>
      <c r="J173" s="2"/>
      <c r="K173" s="2"/>
      <c r="N173" s="2"/>
    </row>
    <row r="174">
      <c r="I174" s="2"/>
      <c r="J174" s="2"/>
      <c r="K174" s="2"/>
      <c r="N174" s="2"/>
    </row>
    <row r="175">
      <c r="I175" s="2"/>
      <c r="J175" s="2"/>
      <c r="K175" s="2"/>
      <c r="N175" s="2"/>
    </row>
    <row r="176">
      <c r="I176" s="2"/>
      <c r="J176" s="2"/>
      <c r="K176" s="2"/>
      <c r="N176" s="2"/>
    </row>
    <row r="177">
      <c r="I177" s="2"/>
      <c r="J177" s="2"/>
      <c r="K177" s="2"/>
      <c r="N177" s="2"/>
    </row>
    <row r="178">
      <c r="I178" s="2"/>
      <c r="J178" s="2"/>
      <c r="K178" s="2"/>
      <c r="N178" s="2"/>
    </row>
    <row r="179">
      <c r="I179" s="2"/>
      <c r="J179" s="2"/>
      <c r="K179" s="2"/>
      <c r="N179" s="2"/>
    </row>
    <row r="180">
      <c r="I180" s="2"/>
      <c r="J180" s="2"/>
      <c r="K180" s="2"/>
      <c r="N180" s="2"/>
    </row>
    <row r="181">
      <c r="I181" s="2"/>
      <c r="J181" s="2"/>
      <c r="K181" s="2"/>
      <c r="N181" s="2"/>
    </row>
    <row r="182">
      <c r="I182" s="2"/>
      <c r="J182" s="2"/>
      <c r="K182" s="2"/>
      <c r="N182" s="2"/>
    </row>
    <row r="183">
      <c r="I183" s="2"/>
      <c r="J183" s="2"/>
      <c r="K183" s="2"/>
      <c r="N183" s="2"/>
    </row>
    <row r="184">
      <c r="I184" s="2"/>
      <c r="J184" s="2"/>
      <c r="K184" s="2"/>
      <c r="N184" s="2"/>
    </row>
    <row r="185">
      <c r="I185" s="2"/>
      <c r="J185" s="2"/>
      <c r="K185" s="2"/>
      <c r="N185" s="2"/>
    </row>
    <row r="186">
      <c r="I186" s="2"/>
      <c r="J186" s="2"/>
      <c r="K186" s="2"/>
      <c r="N186" s="2"/>
    </row>
    <row r="187">
      <c r="I187" s="2"/>
      <c r="J187" s="2"/>
      <c r="K187" s="2"/>
      <c r="N187" s="2"/>
    </row>
    <row r="188">
      <c r="I188" s="2"/>
      <c r="J188" s="2"/>
      <c r="K188" s="2"/>
      <c r="N188" s="2"/>
    </row>
    <row r="189">
      <c r="I189" s="2"/>
      <c r="J189" s="2"/>
      <c r="K189" s="2"/>
      <c r="N189" s="2"/>
    </row>
    <row r="190">
      <c r="I190" s="2"/>
      <c r="J190" s="2"/>
      <c r="K190" s="2"/>
      <c r="N190" s="2"/>
    </row>
    <row r="191">
      <c r="I191" s="2"/>
      <c r="J191" s="2"/>
      <c r="K191" s="2"/>
      <c r="N191" s="2"/>
    </row>
    <row r="192">
      <c r="I192" s="2"/>
      <c r="J192" s="2"/>
      <c r="K192" s="2"/>
      <c r="N192" s="2"/>
    </row>
    <row r="193">
      <c r="I193" s="2"/>
      <c r="J193" s="2"/>
      <c r="K193" s="2"/>
      <c r="N193" s="2"/>
    </row>
    <row r="194">
      <c r="I194" s="2"/>
      <c r="J194" s="2"/>
      <c r="K194" s="2"/>
      <c r="N194" s="2"/>
    </row>
    <row r="195">
      <c r="I195" s="2"/>
      <c r="J195" s="2"/>
      <c r="K195" s="2"/>
      <c r="N195" s="2"/>
    </row>
    <row r="196">
      <c r="I196" s="2"/>
      <c r="J196" s="2"/>
      <c r="K196" s="2"/>
      <c r="N196" s="2"/>
    </row>
    <row r="197">
      <c r="I197" s="2"/>
      <c r="J197" s="2"/>
      <c r="K197" s="2"/>
      <c r="N197" s="2"/>
    </row>
    <row r="198">
      <c r="I198" s="2"/>
      <c r="J198" s="2"/>
      <c r="K198" s="2"/>
      <c r="N198" s="2"/>
    </row>
    <row r="199">
      <c r="I199" s="2"/>
      <c r="J199" s="2"/>
      <c r="K199" s="2"/>
      <c r="N199" s="2"/>
    </row>
    <row r="200">
      <c r="I200" s="2"/>
      <c r="J200" s="2"/>
      <c r="K200" s="2"/>
      <c r="N200" s="2"/>
    </row>
    <row r="201">
      <c r="I201" s="2"/>
      <c r="J201" s="2"/>
      <c r="K201" s="2"/>
      <c r="N201" s="2"/>
    </row>
    <row r="202">
      <c r="I202" s="2"/>
      <c r="J202" s="2"/>
      <c r="K202" s="2"/>
      <c r="N202" s="2"/>
    </row>
    <row r="203">
      <c r="I203" s="2"/>
      <c r="J203" s="2"/>
      <c r="K203" s="2"/>
      <c r="N203" s="2"/>
    </row>
    <row r="204">
      <c r="I204" s="2"/>
      <c r="J204" s="2"/>
      <c r="K204" s="2"/>
      <c r="N204" s="2"/>
    </row>
    <row r="205">
      <c r="I205" s="2"/>
      <c r="J205" s="2"/>
      <c r="K205" s="2"/>
      <c r="N205" s="2"/>
    </row>
    <row r="206">
      <c r="I206" s="2"/>
      <c r="J206" s="2"/>
      <c r="K206" s="2"/>
      <c r="N206" s="2"/>
    </row>
    <row r="207">
      <c r="I207" s="2"/>
      <c r="J207" s="2"/>
      <c r="K207" s="2"/>
      <c r="N207" s="2"/>
    </row>
    <row r="208">
      <c r="I208" s="2"/>
      <c r="J208" s="2"/>
      <c r="K208" s="2"/>
      <c r="N208" s="2"/>
    </row>
    <row r="209">
      <c r="I209" s="2"/>
      <c r="J209" s="2"/>
      <c r="K209" s="2"/>
      <c r="N209" s="2"/>
    </row>
    <row r="210">
      <c r="I210" s="2"/>
      <c r="J210" s="2"/>
      <c r="K210" s="2"/>
      <c r="N210" s="2"/>
    </row>
    <row r="211">
      <c r="I211" s="2"/>
      <c r="J211" s="2"/>
      <c r="K211" s="2"/>
      <c r="N211" s="2"/>
    </row>
    <row r="212">
      <c r="I212" s="2"/>
      <c r="J212" s="2"/>
      <c r="K212" s="2"/>
      <c r="N212" s="2"/>
    </row>
    <row r="213">
      <c r="I213" s="2"/>
      <c r="J213" s="2"/>
      <c r="K213" s="2"/>
      <c r="N213" s="2"/>
    </row>
    <row r="214">
      <c r="I214" s="2"/>
      <c r="J214" s="2"/>
      <c r="K214" s="2"/>
      <c r="N214" s="2"/>
    </row>
    <row r="215">
      <c r="I215" s="2"/>
      <c r="J215" s="2"/>
      <c r="K215" s="2"/>
      <c r="N215" s="2"/>
    </row>
    <row r="216">
      <c r="I216" s="2"/>
      <c r="J216" s="2"/>
      <c r="K216" s="2"/>
      <c r="N216" s="2"/>
    </row>
    <row r="217">
      <c r="I217" s="2"/>
      <c r="J217" s="2"/>
      <c r="K217" s="2"/>
      <c r="N217" s="2"/>
    </row>
    <row r="218">
      <c r="I218" s="2"/>
      <c r="J218" s="2"/>
      <c r="K218" s="2"/>
      <c r="N218" s="2"/>
    </row>
    <row r="219">
      <c r="I219" s="2"/>
      <c r="J219" s="2"/>
      <c r="K219" s="2"/>
      <c r="N219" s="2"/>
    </row>
    <row r="220">
      <c r="I220" s="2"/>
      <c r="J220" s="2"/>
      <c r="K220" s="2"/>
      <c r="N220" s="2"/>
    </row>
    <row r="221">
      <c r="I221" s="2"/>
      <c r="J221" s="2"/>
      <c r="K221" s="2"/>
      <c r="N221" s="2"/>
    </row>
    <row r="222">
      <c r="I222" s="2"/>
      <c r="J222" s="2"/>
      <c r="K222" s="2"/>
      <c r="N222" s="2"/>
    </row>
    <row r="223">
      <c r="I223" s="2"/>
      <c r="J223" s="2"/>
      <c r="K223" s="2"/>
      <c r="N223" s="2"/>
    </row>
    <row r="224">
      <c r="I224" s="2"/>
      <c r="J224" s="2"/>
      <c r="K224" s="2"/>
      <c r="N224" s="2"/>
    </row>
    <row r="225">
      <c r="I225" s="2"/>
      <c r="J225" s="2"/>
      <c r="K225" s="2"/>
      <c r="N225" s="2"/>
    </row>
    <row r="226">
      <c r="I226" s="2"/>
      <c r="J226" s="2"/>
      <c r="K226" s="2"/>
      <c r="N226" s="2"/>
    </row>
    <row r="227">
      <c r="I227" s="2"/>
      <c r="J227" s="2"/>
      <c r="K227" s="2"/>
      <c r="N227" s="2"/>
    </row>
    <row r="228">
      <c r="I228" s="2"/>
      <c r="J228" s="2"/>
      <c r="K228" s="2"/>
      <c r="N228" s="2"/>
    </row>
    <row r="229">
      <c r="I229" s="2"/>
      <c r="J229" s="2"/>
      <c r="K229" s="2"/>
      <c r="N229" s="2"/>
    </row>
    <row r="230">
      <c r="I230" s="2"/>
      <c r="J230" s="2"/>
      <c r="K230" s="2"/>
      <c r="N230" s="2"/>
    </row>
    <row r="231">
      <c r="I231" s="2"/>
      <c r="J231" s="2"/>
      <c r="K231" s="2"/>
      <c r="N231" s="2"/>
    </row>
    <row r="232">
      <c r="I232" s="2"/>
      <c r="J232" s="2"/>
      <c r="K232" s="2"/>
      <c r="N232" s="2"/>
    </row>
    <row r="233">
      <c r="I233" s="2"/>
      <c r="J233" s="2"/>
      <c r="K233" s="2"/>
      <c r="N233" s="2"/>
    </row>
    <row r="234">
      <c r="I234" s="2"/>
      <c r="J234" s="2"/>
      <c r="K234" s="2"/>
      <c r="N234" s="2"/>
    </row>
    <row r="235">
      <c r="I235" s="2"/>
      <c r="J235" s="2"/>
      <c r="K235" s="2"/>
      <c r="N235" s="2"/>
    </row>
    <row r="236">
      <c r="I236" s="2"/>
      <c r="J236" s="2"/>
      <c r="K236" s="2"/>
      <c r="N236" s="2"/>
    </row>
    <row r="237">
      <c r="I237" s="2"/>
      <c r="J237" s="2"/>
      <c r="K237" s="2"/>
      <c r="N237" s="2"/>
    </row>
    <row r="238">
      <c r="I238" s="2"/>
      <c r="J238" s="2"/>
      <c r="K238" s="2"/>
      <c r="N238" s="2"/>
    </row>
    <row r="239">
      <c r="I239" s="2"/>
      <c r="J239" s="2"/>
      <c r="K239" s="2"/>
      <c r="N239" s="2"/>
    </row>
    <row r="240">
      <c r="I240" s="2"/>
      <c r="J240" s="2"/>
      <c r="K240" s="2"/>
      <c r="N240" s="2"/>
    </row>
    <row r="241">
      <c r="I241" s="2"/>
      <c r="J241" s="2"/>
      <c r="K241" s="2"/>
      <c r="N241" s="2"/>
    </row>
    <row r="242">
      <c r="I242" s="2"/>
      <c r="J242" s="2"/>
      <c r="K242" s="2"/>
      <c r="N242" s="2"/>
    </row>
    <row r="243">
      <c r="I243" s="2"/>
      <c r="J243" s="2"/>
      <c r="K243" s="2"/>
      <c r="N243" s="2"/>
    </row>
    <row r="244">
      <c r="I244" s="2"/>
      <c r="J244" s="2"/>
      <c r="K244" s="2"/>
      <c r="N244" s="2"/>
    </row>
    <row r="245">
      <c r="I245" s="2"/>
      <c r="J245" s="2"/>
      <c r="K245" s="2"/>
      <c r="N245" s="2"/>
    </row>
    <row r="246">
      <c r="I246" s="2"/>
      <c r="J246" s="2"/>
      <c r="K246" s="2"/>
      <c r="N246" s="2"/>
    </row>
    <row r="247">
      <c r="I247" s="2"/>
      <c r="J247" s="2"/>
      <c r="K247" s="2"/>
      <c r="N247" s="2"/>
    </row>
    <row r="248">
      <c r="I248" s="2"/>
      <c r="J248" s="2"/>
      <c r="K248" s="2"/>
      <c r="N248" s="2"/>
    </row>
    <row r="249">
      <c r="I249" s="2"/>
      <c r="J249" s="2"/>
      <c r="K249" s="2"/>
      <c r="N249" s="2"/>
    </row>
    <row r="250">
      <c r="I250" s="2"/>
      <c r="J250" s="2"/>
      <c r="K250" s="2"/>
      <c r="N250" s="2"/>
    </row>
    <row r="251">
      <c r="I251" s="2"/>
      <c r="J251" s="2"/>
      <c r="K251" s="2"/>
      <c r="N251" s="2"/>
    </row>
    <row r="252">
      <c r="I252" s="2"/>
      <c r="J252" s="2"/>
      <c r="K252" s="2"/>
      <c r="N252" s="2"/>
    </row>
    <row r="253">
      <c r="I253" s="2"/>
      <c r="J253" s="2"/>
      <c r="K253" s="2"/>
      <c r="N253" s="2"/>
    </row>
    <row r="254">
      <c r="I254" s="2"/>
      <c r="J254" s="2"/>
      <c r="K254" s="2"/>
      <c r="N254" s="2"/>
    </row>
    <row r="255">
      <c r="I255" s="2"/>
      <c r="J255" s="2"/>
      <c r="K255" s="2"/>
      <c r="N255" s="2"/>
    </row>
    <row r="256">
      <c r="I256" s="2"/>
      <c r="J256" s="2"/>
      <c r="K256" s="2"/>
      <c r="N256" s="2"/>
    </row>
    <row r="257">
      <c r="I257" s="2"/>
      <c r="J257" s="2"/>
      <c r="K257" s="2"/>
      <c r="N257" s="2"/>
    </row>
    <row r="258">
      <c r="I258" s="2"/>
      <c r="J258" s="2"/>
      <c r="K258" s="2"/>
      <c r="N258" s="2"/>
    </row>
    <row r="259">
      <c r="I259" s="2"/>
      <c r="J259" s="2"/>
      <c r="K259" s="2"/>
      <c r="N259" s="2"/>
    </row>
    <row r="260">
      <c r="I260" s="2"/>
      <c r="J260" s="2"/>
      <c r="K260" s="2"/>
      <c r="N260" s="2"/>
    </row>
    <row r="261">
      <c r="I261" s="2"/>
      <c r="J261" s="2"/>
      <c r="K261" s="2"/>
      <c r="N261" s="2"/>
    </row>
    <row r="262">
      <c r="I262" s="2"/>
      <c r="J262" s="2"/>
      <c r="K262" s="2"/>
      <c r="N262" s="2"/>
    </row>
    <row r="263">
      <c r="I263" s="2"/>
      <c r="J263" s="2"/>
      <c r="K263" s="2"/>
      <c r="N263" s="2"/>
    </row>
    <row r="264">
      <c r="I264" s="2"/>
      <c r="J264" s="2"/>
      <c r="K264" s="2"/>
      <c r="N264" s="2"/>
    </row>
    <row r="265">
      <c r="I265" s="2"/>
      <c r="J265" s="2"/>
      <c r="K265" s="2"/>
      <c r="N265" s="2"/>
    </row>
    <row r="266">
      <c r="I266" s="2"/>
      <c r="J266" s="2"/>
      <c r="K266" s="2"/>
      <c r="N266" s="2"/>
    </row>
    <row r="267">
      <c r="I267" s="2"/>
      <c r="J267" s="2"/>
      <c r="K267" s="2"/>
      <c r="N267" s="2"/>
    </row>
    <row r="268">
      <c r="I268" s="2"/>
      <c r="J268" s="2"/>
      <c r="K268" s="2"/>
      <c r="N268" s="2"/>
    </row>
    <row r="269">
      <c r="I269" s="2"/>
      <c r="J269" s="2"/>
      <c r="K269" s="2"/>
      <c r="N269" s="2"/>
    </row>
    <row r="270">
      <c r="I270" s="2"/>
      <c r="J270" s="2"/>
      <c r="K270" s="2"/>
      <c r="N270" s="2"/>
    </row>
    <row r="271">
      <c r="I271" s="2"/>
      <c r="J271" s="2"/>
      <c r="K271" s="2"/>
      <c r="N271" s="2"/>
    </row>
    <row r="272">
      <c r="I272" s="2"/>
      <c r="J272" s="2"/>
      <c r="K272" s="2"/>
      <c r="N272" s="2"/>
    </row>
    <row r="273">
      <c r="I273" s="2"/>
      <c r="J273" s="2"/>
      <c r="K273" s="2"/>
      <c r="N273" s="2"/>
    </row>
    <row r="274">
      <c r="I274" s="2"/>
      <c r="J274" s="2"/>
      <c r="K274" s="2"/>
      <c r="N274" s="2"/>
    </row>
    <row r="275">
      <c r="I275" s="2"/>
      <c r="J275" s="2"/>
      <c r="K275" s="2"/>
      <c r="N275" s="2"/>
    </row>
    <row r="276">
      <c r="I276" s="2"/>
      <c r="J276" s="2"/>
      <c r="K276" s="2"/>
      <c r="N276" s="2"/>
    </row>
    <row r="277">
      <c r="I277" s="2"/>
      <c r="J277" s="2"/>
      <c r="K277" s="2"/>
      <c r="N277" s="2"/>
    </row>
    <row r="278">
      <c r="I278" s="2"/>
      <c r="J278" s="2"/>
      <c r="K278" s="2"/>
      <c r="N278" s="2"/>
    </row>
    <row r="279">
      <c r="I279" s="2"/>
      <c r="J279" s="2"/>
      <c r="K279" s="2"/>
      <c r="N279" s="2"/>
    </row>
    <row r="280">
      <c r="I280" s="2"/>
      <c r="J280" s="2"/>
      <c r="K280" s="2"/>
      <c r="N280" s="2"/>
    </row>
    <row r="281">
      <c r="I281" s="2"/>
      <c r="J281" s="2"/>
      <c r="K281" s="2"/>
      <c r="N281" s="2"/>
    </row>
    <row r="282">
      <c r="I282" s="2"/>
      <c r="J282" s="2"/>
      <c r="K282" s="2"/>
      <c r="N282" s="2"/>
    </row>
    <row r="283">
      <c r="I283" s="2"/>
      <c r="J283" s="2"/>
      <c r="K283" s="2"/>
      <c r="N283" s="2"/>
    </row>
    <row r="284">
      <c r="I284" s="2"/>
      <c r="J284" s="2"/>
      <c r="K284" s="2"/>
      <c r="N284" s="2"/>
    </row>
    <row r="285">
      <c r="I285" s="2"/>
      <c r="J285" s="2"/>
      <c r="K285" s="2"/>
      <c r="N285" s="2"/>
    </row>
    <row r="286">
      <c r="I286" s="2"/>
      <c r="J286" s="2"/>
      <c r="K286" s="2"/>
      <c r="N286" s="2"/>
    </row>
    <row r="287">
      <c r="I287" s="2"/>
      <c r="J287" s="2"/>
      <c r="K287" s="2"/>
      <c r="N287" s="2"/>
    </row>
    <row r="288">
      <c r="I288" s="2"/>
      <c r="J288" s="2"/>
      <c r="K288" s="2"/>
      <c r="N288" s="2"/>
    </row>
    <row r="289">
      <c r="I289" s="2"/>
      <c r="J289" s="2"/>
      <c r="K289" s="2"/>
      <c r="N289" s="2"/>
    </row>
    <row r="290">
      <c r="I290" s="2"/>
      <c r="J290" s="2"/>
      <c r="K290" s="2"/>
      <c r="N290" s="2"/>
    </row>
    <row r="291">
      <c r="I291" s="2"/>
      <c r="J291" s="2"/>
      <c r="K291" s="2"/>
      <c r="N291" s="2"/>
    </row>
    <row r="292">
      <c r="I292" s="2"/>
      <c r="J292" s="2"/>
      <c r="K292" s="2"/>
      <c r="N292" s="2"/>
    </row>
    <row r="293">
      <c r="I293" s="2"/>
      <c r="J293" s="2"/>
      <c r="K293" s="2"/>
      <c r="N293" s="2"/>
    </row>
    <row r="294">
      <c r="I294" s="2"/>
      <c r="J294" s="2"/>
      <c r="K294" s="2"/>
      <c r="N294" s="2"/>
    </row>
    <row r="295">
      <c r="I295" s="2"/>
      <c r="J295" s="2"/>
      <c r="K295" s="2"/>
      <c r="N295" s="2"/>
    </row>
    <row r="296">
      <c r="I296" s="2"/>
      <c r="J296" s="2"/>
      <c r="K296" s="2"/>
      <c r="N296" s="2"/>
    </row>
    <row r="297">
      <c r="I297" s="2"/>
      <c r="J297" s="2"/>
      <c r="K297" s="2"/>
      <c r="N297" s="2"/>
    </row>
    <row r="298">
      <c r="I298" s="2"/>
      <c r="J298" s="2"/>
      <c r="K298" s="2"/>
      <c r="N298" s="2"/>
    </row>
    <row r="299">
      <c r="I299" s="2"/>
      <c r="J299" s="2"/>
      <c r="K299" s="2"/>
      <c r="N299" s="2"/>
    </row>
    <row r="300">
      <c r="I300" s="2"/>
      <c r="J300" s="2"/>
      <c r="K300" s="2"/>
      <c r="N300" s="2"/>
    </row>
    <row r="301">
      <c r="I301" s="2"/>
      <c r="J301" s="2"/>
      <c r="K301" s="2"/>
      <c r="N301" s="2"/>
    </row>
    <row r="302">
      <c r="I302" s="2"/>
      <c r="J302" s="2"/>
      <c r="K302" s="2"/>
      <c r="N302" s="2"/>
    </row>
    <row r="303">
      <c r="I303" s="2"/>
      <c r="J303" s="2"/>
      <c r="K303" s="2"/>
      <c r="N303" s="2"/>
    </row>
    <row r="304">
      <c r="I304" s="2"/>
      <c r="J304" s="2"/>
      <c r="K304" s="2"/>
      <c r="N304" s="2"/>
    </row>
    <row r="305">
      <c r="I305" s="2"/>
      <c r="J305" s="2"/>
      <c r="K305" s="2"/>
      <c r="N305" s="2"/>
    </row>
    <row r="306">
      <c r="I306" s="2"/>
      <c r="J306" s="2"/>
      <c r="K306" s="2"/>
      <c r="N306" s="2"/>
    </row>
    <row r="307">
      <c r="I307" s="2"/>
      <c r="J307" s="2"/>
      <c r="K307" s="2"/>
      <c r="N307" s="2"/>
    </row>
    <row r="308">
      <c r="I308" s="2"/>
      <c r="J308" s="2"/>
      <c r="K308" s="2"/>
      <c r="N308" s="2"/>
    </row>
    <row r="309">
      <c r="I309" s="2"/>
      <c r="J309" s="2"/>
      <c r="K309" s="2"/>
      <c r="N309" s="2"/>
    </row>
    <row r="310">
      <c r="I310" s="2"/>
      <c r="J310" s="2"/>
      <c r="K310" s="2"/>
      <c r="N310" s="2"/>
    </row>
    <row r="311">
      <c r="I311" s="2"/>
      <c r="J311" s="2"/>
      <c r="K311" s="2"/>
      <c r="N311" s="2"/>
    </row>
    <row r="312">
      <c r="I312" s="2"/>
      <c r="J312" s="2"/>
      <c r="K312" s="2"/>
      <c r="N312" s="2"/>
    </row>
    <row r="313">
      <c r="I313" s="2"/>
      <c r="J313" s="2"/>
      <c r="K313" s="2"/>
      <c r="N313" s="2"/>
    </row>
    <row r="314">
      <c r="I314" s="2"/>
      <c r="J314" s="2"/>
      <c r="K314" s="2"/>
      <c r="N314" s="2"/>
    </row>
    <row r="315">
      <c r="I315" s="2"/>
      <c r="J315" s="2"/>
      <c r="K315" s="2"/>
      <c r="N315" s="2"/>
    </row>
    <row r="316">
      <c r="I316" s="2"/>
      <c r="J316" s="2"/>
      <c r="K316" s="2"/>
      <c r="N316" s="2"/>
    </row>
    <row r="317">
      <c r="I317" s="2"/>
      <c r="J317" s="2"/>
      <c r="K317" s="2"/>
      <c r="N317" s="2"/>
    </row>
    <row r="318">
      <c r="I318" s="2"/>
      <c r="J318" s="2"/>
      <c r="K318" s="2"/>
      <c r="N318" s="2"/>
    </row>
    <row r="319">
      <c r="I319" s="2"/>
      <c r="J319" s="2"/>
      <c r="K319" s="2"/>
      <c r="N319" s="2"/>
    </row>
    <row r="320">
      <c r="I320" s="2"/>
      <c r="J320" s="2"/>
      <c r="K320" s="2"/>
      <c r="N320" s="2"/>
    </row>
    <row r="321">
      <c r="I321" s="2"/>
      <c r="J321" s="2"/>
      <c r="K321" s="2"/>
      <c r="N321" s="2"/>
    </row>
    <row r="322">
      <c r="I322" s="2"/>
      <c r="J322" s="2"/>
      <c r="K322" s="2"/>
      <c r="N322" s="2"/>
    </row>
    <row r="323">
      <c r="I323" s="2"/>
      <c r="J323" s="2"/>
      <c r="K323" s="2"/>
      <c r="N323" s="2"/>
    </row>
    <row r="324">
      <c r="I324" s="2"/>
      <c r="J324" s="2"/>
      <c r="K324" s="2"/>
      <c r="N324" s="2"/>
    </row>
    <row r="325">
      <c r="I325" s="2"/>
      <c r="J325" s="2"/>
      <c r="K325" s="2"/>
      <c r="N325" s="2"/>
    </row>
    <row r="326">
      <c r="I326" s="2"/>
      <c r="J326" s="2"/>
      <c r="K326" s="2"/>
      <c r="N326" s="2"/>
    </row>
    <row r="327">
      <c r="I327" s="2"/>
      <c r="J327" s="2"/>
      <c r="K327" s="2"/>
      <c r="N327" s="2"/>
    </row>
    <row r="328">
      <c r="I328" s="2"/>
      <c r="J328" s="2"/>
      <c r="K328" s="2"/>
      <c r="N328" s="2"/>
    </row>
    <row r="329">
      <c r="I329" s="2"/>
      <c r="J329" s="2"/>
      <c r="K329" s="2"/>
      <c r="N329" s="2"/>
    </row>
    <row r="330">
      <c r="I330" s="2"/>
      <c r="J330" s="2"/>
      <c r="K330" s="2"/>
      <c r="N330" s="2"/>
    </row>
    <row r="331">
      <c r="I331" s="2"/>
      <c r="J331" s="2"/>
      <c r="K331" s="2"/>
      <c r="N331" s="2"/>
    </row>
    <row r="332">
      <c r="I332" s="2"/>
      <c r="J332" s="2"/>
      <c r="K332" s="2"/>
      <c r="N332" s="2"/>
    </row>
    <row r="333">
      <c r="I333" s="2"/>
      <c r="J333" s="2"/>
      <c r="K333" s="2"/>
      <c r="N333" s="2"/>
    </row>
    <row r="334">
      <c r="I334" s="2"/>
      <c r="J334" s="2"/>
      <c r="K334" s="2"/>
      <c r="N334" s="2"/>
    </row>
    <row r="335">
      <c r="I335" s="2"/>
      <c r="J335" s="2"/>
      <c r="K335" s="2"/>
      <c r="N335" s="2"/>
    </row>
    <row r="336">
      <c r="I336" s="2"/>
      <c r="J336" s="2"/>
      <c r="K336" s="2"/>
      <c r="N336" s="2"/>
    </row>
    <row r="337">
      <c r="I337" s="2"/>
      <c r="J337" s="2"/>
      <c r="K337" s="2"/>
      <c r="N337" s="2"/>
    </row>
    <row r="338">
      <c r="I338" s="2"/>
      <c r="J338" s="2"/>
      <c r="K338" s="2"/>
      <c r="N338" s="2"/>
    </row>
    <row r="339">
      <c r="I339" s="2"/>
      <c r="J339" s="2"/>
      <c r="K339" s="2"/>
      <c r="N339" s="2"/>
    </row>
    <row r="340">
      <c r="I340" s="2"/>
      <c r="J340" s="2"/>
      <c r="K340" s="2"/>
      <c r="N340" s="2"/>
    </row>
    <row r="341">
      <c r="I341" s="2"/>
      <c r="J341" s="2"/>
      <c r="K341" s="2"/>
      <c r="N341" s="2"/>
    </row>
    <row r="342">
      <c r="I342" s="2"/>
      <c r="J342" s="2"/>
      <c r="K342" s="2"/>
      <c r="N342" s="2"/>
    </row>
    <row r="343">
      <c r="I343" s="2"/>
      <c r="J343" s="2"/>
      <c r="K343" s="2"/>
      <c r="N343" s="2"/>
    </row>
    <row r="344">
      <c r="I344" s="2"/>
      <c r="J344" s="2"/>
      <c r="K344" s="2"/>
      <c r="N344" s="2"/>
    </row>
    <row r="345">
      <c r="I345" s="2"/>
      <c r="J345" s="2"/>
      <c r="K345" s="2"/>
      <c r="N345" s="2"/>
    </row>
    <row r="346">
      <c r="I346" s="2"/>
      <c r="J346" s="2"/>
      <c r="K346" s="2"/>
      <c r="N346" s="2"/>
    </row>
    <row r="347">
      <c r="I347" s="2"/>
      <c r="J347" s="2"/>
      <c r="K347" s="2"/>
      <c r="N347" s="2"/>
    </row>
    <row r="348">
      <c r="I348" s="2"/>
      <c r="J348" s="2"/>
      <c r="K348" s="2"/>
      <c r="N348" s="2"/>
    </row>
    <row r="349">
      <c r="I349" s="2"/>
      <c r="J349" s="2"/>
      <c r="K349" s="2"/>
      <c r="N349" s="2"/>
    </row>
    <row r="350">
      <c r="I350" s="2"/>
      <c r="J350" s="2"/>
      <c r="K350" s="2"/>
      <c r="N350" s="2"/>
    </row>
    <row r="351">
      <c r="I351" s="2"/>
      <c r="J351" s="2"/>
      <c r="K351" s="2"/>
      <c r="N351" s="2"/>
    </row>
    <row r="352">
      <c r="I352" s="2"/>
      <c r="J352" s="2"/>
      <c r="K352" s="2"/>
      <c r="N352" s="2"/>
    </row>
    <row r="353">
      <c r="I353" s="2"/>
      <c r="J353" s="2"/>
      <c r="K353" s="2"/>
      <c r="N353" s="2"/>
    </row>
    <row r="354">
      <c r="I354" s="2"/>
      <c r="J354" s="2"/>
      <c r="K354" s="2"/>
      <c r="N354" s="2"/>
    </row>
    <row r="355">
      <c r="I355" s="2"/>
      <c r="J355" s="2"/>
      <c r="K355" s="2"/>
      <c r="N355" s="2"/>
    </row>
    <row r="356">
      <c r="I356" s="2"/>
      <c r="J356" s="2"/>
      <c r="K356" s="2"/>
      <c r="N356" s="2"/>
    </row>
    <row r="357">
      <c r="I357" s="2"/>
      <c r="J357" s="2"/>
      <c r="K357" s="2"/>
      <c r="N357" s="2"/>
    </row>
    <row r="358">
      <c r="I358" s="2"/>
      <c r="J358" s="2"/>
      <c r="K358" s="2"/>
      <c r="N358" s="2"/>
    </row>
    <row r="359">
      <c r="I359" s="2"/>
      <c r="J359" s="2"/>
      <c r="K359" s="2"/>
      <c r="N359" s="2"/>
    </row>
    <row r="360">
      <c r="I360" s="2"/>
      <c r="J360" s="2"/>
      <c r="K360" s="2"/>
      <c r="N360" s="2"/>
    </row>
    <row r="361">
      <c r="I361" s="2"/>
      <c r="J361" s="2"/>
      <c r="K361" s="2"/>
      <c r="N361" s="2"/>
    </row>
    <row r="362">
      <c r="I362" s="2"/>
      <c r="J362" s="2"/>
      <c r="K362" s="2"/>
      <c r="N362" s="2"/>
    </row>
    <row r="363">
      <c r="I363" s="2"/>
      <c r="J363" s="2"/>
      <c r="K363" s="2"/>
      <c r="N363" s="2"/>
    </row>
    <row r="364">
      <c r="I364" s="2"/>
      <c r="J364" s="2"/>
      <c r="K364" s="2"/>
      <c r="N364" s="2"/>
    </row>
    <row r="365">
      <c r="I365" s="2"/>
      <c r="J365" s="2"/>
      <c r="K365" s="2"/>
      <c r="N365" s="2"/>
    </row>
    <row r="366">
      <c r="I366" s="2"/>
      <c r="J366" s="2"/>
      <c r="K366" s="2"/>
      <c r="N366" s="2"/>
    </row>
    <row r="367">
      <c r="I367" s="2"/>
      <c r="J367" s="2"/>
      <c r="K367" s="2"/>
      <c r="N367" s="2"/>
    </row>
    <row r="368">
      <c r="I368" s="2"/>
      <c r="J368" s="2"/>
      <c r="K368" s="2"/>
      <c r="N368" s="2"/>
    </row>
    <row r="369">
      <c r="I369" s="2"/>
      <c r="J369" s="2"/>
      <c r="K369" s="2"/>
      <c r="N369" s="2"/>
    </row>
    <row r="370">
      <c r="I370" s="2"/>
      <c r="J370" s="2"/>
      <c r="K370" s="2"/>
      <c r="N370" s="2"/>
    </row>
    <row r="371">
      <c r="I371" s="2"/>
      <c r="J371" s="2"/>
      <c r="K371" s="2"/>
      <c r="N371" s="2"/>
    </row>
    <row r="372">
      <c r="I372" s="2"/>
      <c r="J372" s="2"/>
      <c r="K372" s="2"/>
      <c r="N372" s="2"/>
    </row>
    <row r="373">
      <c r="I373" s="2"/>
      <c r="J373" s="2"/>
      <c r="K373" s="2"/>
      <c r="N373" s="2"/>
    </row>
    <row r="374">
      <c r="I374" s="2"/>
      <c r="J374" s="2"/>
      <c r="K374" s="2"/>
      <c r="N374" s="2"/>
    </row>
    <row r="375">
      <c r="I375" s="2"/>
      <c r="J375" s="2"/>
      <c r="K375" s="2"/>
      <c r="N375" s="2"/>
    </row>
    <row r="376">
      <c r="I376" s="2"/>
      <c r="J376" s="2"/>
      <c r="K376" s="2"/>
      <c r="N376" s="2"/>
    </row>
    <row r="377">
      <c r="I377" s="2"/>
      <c r="J377" s="2"/>
      <c r="K377" s="2"/>
      <c r="N377" s="2"/>
    </row>
    <row r="378">
      <c r="I378" s="2"/>
      <c r="J378" s="2"/>
      <c r="K378" s="2"/>
      <c r="N378" s="2"/>
    </row>
    <row r="379">
      <c r="I379" s="2"/>
      <c r="J379" s="2"/>
      <c r="K379" s="2"/>
      <c r="N379" s="2"/>
    </row>
    <row r="380">
      <c r="I380" s="2"/>
      <c r="J380" s="2"/>
      <c r="K380" s="2"/>
      <c r="N380" s="2"/>
    </row>
    <row r="381">
      <c r="I381" s="2"/>
      <c r="J381" s="2"/>
      <c r="K381" s="2"/>
      <c r="N381" s="2"/>
    </row>
    <row r="382">
      <c r="I382" s="2"/>
      <c r="J382" s="2"/>
      <c r="K382" s="2"/>
      <c r="N382" s="2"/>
    </row>
    <row r="383">
      <c r="I383" s="2"/>
      <c r="J383" s="2"/>
      <c r="K383" s="2"/>
      <c r="N383" s="2"/>
    </row>
    <row r="384">
      <c r="I384" s="2"/>
      <c r="J384" s="2"/>
      <c r="K384" s="2"/>
      <c r="N384" s="2"/>
    </row>
    <row r="385">
      <c r="I385" s="2"/>
      <c r="J385" s="2"/>
      <c r="K385" s="2"/>
      <c r="N385" s="2"/>
    </row>
    <row r="386">
      <c r="I386" s="2"/>
      <c r="J386" s="2"/>
      <c r="K386" s="2"/>
      <c r="N386" s="2"/>
    </row>
    <row r="387">
      <c r="I387" s="2"/>
      <c r="J387" s="2"/>
      <c r="K387" s="2"/>
      <c r="N387" s="2"/>
    </row>
    <row r="388">
      <c r="I388" s="2"/>
      <c r="J388" s="2"/>
      <c r="K388" s="2"/>
      <c r="N388" s="2"/>
    </row>
    <row r="389">
      <c r="I389" s="2"/>
      <c r="J389" s="2"/>
      <c r="K389" s="2"/>
      <c r="N389" s="2"/>
    </row>
    <row r="390">
      <c r="I390" s="2"/>
      <c r="J390" s="2"/>
      <c r="K390" s="2"/>
      <c r="N390" s="2"/>
    </row>
    <row r="391">
      <c r="I391" s="2"/>
      <c r="J391" s="2"/>
      <c r="K391" s="2"/>
      <c r="N391" s="2"/>
    </row>
    <row r="392">
      <c r="I392" s="2"/>
      <c r="J392" s="2"/>
      <c r="K392" s="2"/>
      <c r="N392" s="2"/>
    </row>
    <row r="393">
      <c r="I393" s="2"/>
      <c r="J393" s="2"/>
      <c r="K393" s="2"/>
      <c r="N393" s="2"/>
    </row>
    <row r="394">
      <c r="I394" s="2"/>
      <c r="J394" s="2"/>
      <c r="K394" s="2"/>
      <c r="N394" s="2"/>
    </row>
    <row r="395">
      <c r="I395" s="2"/>
      <c r="J395" s="2"/>
      <c r="K395" s="2"/>
      <c r="N395" s="2"/>
    </row>
    <row r="396">
      <c r="I396" s="2"/>
      <c r="J396" s="2"/>
      <c r="K396" s="2"/>
      <c r="N396" s="2"/>
    </row>
    <row r="397">
      <c r="I397" s="2"/>
      <c r="J397" s="2"/>
      <c r="K397" s="2"/>
      <c r="N397" s="2"/>
    </row>
    <row r="398">
      <c r="I398" s="2"/>
      <c r="J398" s="2"/>
      <c r="K398" s="2"/>
      <c r="N398" s="2"/>
    </row>
    <row r="399">
      <c r="I399" s="2"/>
      <c r="J399" s="2"/>
      <c r="K399" s="2"/>
      <c r="N399" s="2"/>
    </row>
    <row r="400">
      <c r="I400" s="2"/>
      <c r="J400" s="2"/>
      <c r="K400" s="2"/>
      <c r="N400" s="2"/>
    </row>
    <row r="401">
      <c r="I401" s="2"/>
      <c r="J401" s="2"/>
      <c r="K401" s="2"/>
      <c r="N401" s="2"/>
    </row>
    <row r="402">
      <c r="I402" s="2"/>
      <c r="J402" s="2"/>
      <c r="K402" s="2"/>
      <c r="N402" s="2"/>
    </row>
    <row r="403">
      <c r="I403" s="2"/>
      <c r="J403" s="2"/>
      <c r="K403" s="2"/>
      <c r="N403" s="2"/>
    </row>
    <row r="404">
      <c r="I404" s="2"/>
      <c r="J404" s="2"/>
      <c r="K404" s="2"/>
      <c r="N404" s="2"/>
    </row>
    <row r="405">
      <c r="I405" s="2"/>
      <c r="J405" s="2"/>
      <c r="K405" s="2"/>
      <c r="N405" s="2"/>
    </row>
    <row r="406">
      <c r="I406" s="2"/>
      <c r="J406" s="2"/>
      <c r="K406" s="2"/>
      <c r="N406" s="2"/>
    </row>
    <row r="407">
      <c r="I407" s="2"/>
      <c r="J407" s="2"/>
      <c r="K407" s="2"/>
      <c r="N407" s="2"/>
    </row>
    <row r="408">
      <c r="I408" s="2"/>
      <c r="J408" s="2"/>
      <c r="K408" s="2"/>
      <c r="N408" s="2"/>
    </row>
    <row r="409">
      <c r="I409" s="2"/>
      <c r="J409" s="2"/>
      <c r="K409" s="2"/>
      <c r="N409" s="2"/>
    </row>
    <row r="410">
      <c r="I410" s="2"/>
      <c r="J410" s="2"/>
      <c r="K410" s="2"/>
      <c r="N410" s="2"/>
    </row>
    <row r="411">
      <c r="I411" s="2"/>
      <c r="J411" s="2"/>
      <c r="K411" s="2"/>
      <c r="N411" s="2"/>
    </row>
    <row r="412">
      <c r="I412" s="2"/>
      <c r="J412" s="2"/>
      <c r="K412" s="2"/>
      <c r="N412" s="2"/>
    </row>
    <row r="413">
      <c r="I413" s="2"/>
      <c r="J413" s="2"/>
      <c r="K413" s="2"/>
      <c r="N413" s="2"/>
    </row>
    <row r="414">
      <c r="I414" s="2"/>
      <c r="J414" s="2"/>
      <c r="K414" s="2"/>
      <c r="N414" s="2"/>
    </row>
    <row r="415">
      <c r="I415" s="2"/>
      <c r="J415" s="2"/>
      <c r="K415" s="2"/>
      <c r="N415" s="2"/>
    </row>
    <row r="416">
      <c r="I416" s="2"/>
      <c r="J416" s="2"/>
      <c r="K416" s="2"/>
      <c r="N416" s="2"/>
    </row>
    <row r="417">
      <c r="I417" s="2"/>
      <c r="J417" s="2"/>
      <c r="K417" s="2"/>
      <c r="N417" s="2"/>
    </row>
    <row r="418">
      <c r="I418" s="2"/>
      <c r="J418" s="2"/>
      <c r="K418" s="2"/>
      <c r="N418" s="2"/>
    </row>
    <row r="419">
      <c r="I419" s="2"/>
      <c r="J419" s="2"/>
      <c r="K419" s="2"/>
      <c r="N419" s="2"/>
    </row>
    <row r="420">
      <c r="I420" s="2"/>
      <c r="J420" s="2"/>
      <c r="K420" s="2"/>
      <c r="N420" s="2"/>
    </row>
    <row r="421">
      <c r="I421" s="2"/>
      <c r="J421" s="2"/>
      <c r="K421" s="2"/>
      <c r="N421" s="2"/>
    </row>
    <row r="422">
      <c r="I422" s="2"/>
      <c r="J422" s="2"/>
      <c r="K422" s="2"/>
      <c r="N422" s="2"/>
    </row>
    <row r="423">
      <c r="I423" s="2"/>
      <c r="J423" s="2"/>
      <c r="K423" s="2"/>
      <c r="N423" s="2"/>
    </row>
    <row r="424">
      <c r="I424" s="2"/>
      <c r="J424" s="2"/>
      <c r="K424" s="2"/>
      <c r="N424" s="2"/>
    </row>
    <row r="425">
      <c r="I425" s="2"/>
      <c r="J425" s="2"/>
      <c r="K425" s="2"/>
      <c r="N425" s="2"/>
    </row>
    <row r="426">
      <c r="I426" s="2"/>
      <c r="J426" s="2"/>
      <c r="K426" s="2"/>
      <c r="N426" s="2"/>
    </row>
    <row r="427">
      <c r="I427" s="2"/>
      <c r="J427" s="2"/>
      <c r="K427" s="2"/>
      <c r="N427" s="2"/>
    </row>
    <row r="428">
      <c r="I428" s="2"/>
      <c r="J428" s="2"/>
      <c r="K428" s="2"/>
      <c r="N428" s="2"/>
    </row>
    <row r="429">
      <c r="I429" s="2"/>
      <c r="J429" s="2"/>
      <c r="K429" s="2"/>
      <c r="N429" s="2"/>
    </row>
    <row r="430">
      <c r="I430" s="2"/>
      <c r="J430" s="2"/>
      <c r="K430" s="2"/>
      <c r="N430" s="2"/>
    </row>
    <row r="431">
      <c r="I431" s="2"/>
      <c r="J431" s="2"/>
      <c r="K431" s="2"/>
      <c r="N431" s="2"/>
    </row>
    <row r="432">
      <c r="I432" s="2"/>
      <c r="J432" s="2"/>
      <c r="K432" s="2"/>
      <c r="N432" s="2"/>
    </row>
    <row r="433">
      <c r="I433" s="2"/>
      <c r="J433" s="2"/>
      <c r="K433" s="2"/>
      <c r="N433" s="2"/>
    </row>
    <row r="434">
      <c r="I434" s="2"/>
      <c r="J434" s="2"/>
      <c r="K434" s="2"/>
      <c r="N434" s="2"/>
    </row>
    <row r="435">
      <c r="I435" s="2"/>
      <c r="J435" s="2"/>
      <c r="K435" s="2"/>
      <c r="N435" s="2"/>
    </row>
    <row r="436">
      <c r="I436" s="2"/>
      <c r="J436" s="2"/>
      <c r="K436" s="2"/>
      <c r="N436" s="2"/>
    </row>
    <row r="437">
      <c r="I437" s="2"/>
      <c r="J437" s="2"/>
      <c r="K437" s="2"/>
      <c r="N437" s="2"/>
    </row>
    <row r="438">
      <c r="I438" s="2"/>
      <c r="J438" s="2"/>
      <c r="K438" s="2"/>
      <c r="N438" s="2"/>
    </row>
    <row r="439">
      <c r="I439" s="2"/>
      <c r="J439" s="2"/>
      <c r="K439" s="2"/>
      <c r="N439" s="2"/>
    </row>
    <row r="440">
      <c r="I440" s="2"/>
      <c r="J440" s="2"/>
      <c r="K440" s="2"/>
      <c r="N440" s="2"/>
    </row>
    <row r="441">
      <c r="I441" s="2"/>
      <c r="J441" s="2"/>
      <c r="K441" s="2"/>
      <c r="N441" s="2"/>
    </row>
    <row r="442">
      <c r="I442" s="2"/>
      <c r="J442" s="2"/>
      <c r="K442" s="2"/>
      <c r="N442" s="2"/>
    </row>
    <row r="443">
      <c r="I443" s="2"/>
      <c r="J443" s="2"/>
      <c r="K443" s="2"/>
      <c r="N443" s="2"/>
    </row>
    <row r="444">
      <c r="I444" s="2"/>
      <c r="J444" s="2"/>
      <c r="K444" s="2"/>
      <c r="N444" s="2"/>
    </row>
    <row r="445">
      <c r="I445" s="2"/>
      <c r="J445" s="2"/>
      <c r="K445" s="2"/>
      <c r="N445" s="2"/>
    </row>
    <row r="446">
      <c r="I446" s="2"/>
      <c r="J446" s="2"/>
      <c r="K446" s="2"/>
      <c r="N446" s="2"/>
    </row>
    <row r="447">
      <c r="I447" s="2"/>
      <c r="J447" s="2"/>
      <c r="K447" s="2"/>
      <c r="N447" s="2"/>
    </row>
    <row r="448">
      <c r="I448" s="2"/>
      <c r="J448" s="2"/>
      <c r="K448" s="2"/>
      <c r="N448" s="2"/>
    </row>
    <row r="449">
      <c r="I449" s="2"/>
      <c r="J449" s="2"/>
      <c r="K449" s="2"/>
      <c r="N449" s="2"/>
    </row>
    <row r="450">
      <c r="I450" s="2"/>
      <c r="J450" s="2"/>
      <c r="K450" s="2"/>
      <c r="N450" s="2"/>
    </row>
    <row r="451">
      <c r="I451" s="2"/>
      <c r="J451" s="2"/>
      <c r="K451" s="2"/>
      <c r="N451" s="2"/>
    </row>
    <row r="452">
      <c r="I452" s="2"/>
      <c r="J452" s="2"/>
      <c r="K452" s="2"/>
      <c r="N452" s="2"/>
    </row>
    <row r="453">
      <c r="I453" s="2"/>
      <c r="J453" s="2"/>
      <c r="K453" s="2"/>
      <c r="N453" s="2"/>
    </row>
    <row r="454">
      <c r="I454" s="2"/>
      <c r="J454" s="2"/>
      <c r="K454" s="2"/>
      <c r="N454" s="2"/>
    </row>
    <row r="455">
      <c r="I455" s="2"/>
      <c r="J455" s="2"/>
      <c r="K455" s="2"/>
      <c r="N455" s="2"/>
    </row>
    <row r="456">
      <c r="I456" s="2"/>
      <c r="J456" s="2"/>
      <c r="K456" s="2"/>
      <c r="N456" s="2"/>
    </row>
    <row r="457">
      <c r="I457" s="2"/>
      <c r="J457" s="2"/>
      <c r="K457" s="2"/>
      <c r="N457" s="2"/>
    </row>
    <row r="458">
      <c r="I458" s="2"/>
      <c r="J458" s="2"/>
      <c r="K458" s="2"/>
      <c r="N458" s="2"/>
    </row>
    <row r="459">
      <c r="I459" s="2"/>
      <c r="J459" s="2"/>
      <c r="K459" s="2"/>
      <c r="N459" s="2"/>
    </row>
    <row r="460">
      <c r="I460" s="2"/>
      <c r="J460" s="2"/>
      <c r="K460" s="2"/>
      <c r="N460" s="2"/>
    </row>
    <row r="461">
      <c r="I461" s="2"/>
      <c r="J461" s="2"/>
      <c r="K461" s="2"/>
      <c r="N461" s="2"/>
    </row>
    <row r="462">
      <c r="I462" s="2"/>
      <c r="J462" s="2"/>
      <c r="K462" s="2"/>
      <c r="N462" s="2"/>
    </row>
    <row r="463">
      <c r="I463" s="2"/>
      <c r="J463" s="2"/>
      <c r="K463" s="2"/>
      <c r="N463" s="2"/>
    </row>
    <row r="464">
      <c r="I464" s="2"/>
      <c r="J464" s="2"/>
      <c r="K464" s="2"/>
      <c r="N464" s="2"/>
    </row>
    <row r="465">
      <c r="I465" s="2"/>
      <c r="J465" s="2"/>
      <c r="K465" s="2"/>
      <c r="N465" s="2"/>
    </row>
    <row r="466">
      <c r="I466" s="2"/>
      <c r="J466" s="2"/>
      <c r="K466" s="2"/>
      <c r="N466" s="2"/>
    </row>
    <row r="467">
      <c r="I467" s="2"/>
      <c r="J467" s="2"/>
      <c r="K467" s="2"/>
      <c r="N467" s="2"/>
    </row>
    <row r="468">
      <c r="I468" s="2"/>
      <c r="J468" s="2"/>
      <c r="K468" s="2"/>
      <c r="N468" s="2"/>
    </row>
    <row r="469">
      <c r="I469" s="2"/>
      <c r="J469" s="2"/>
      <c r="K469" s="2"/>
      <c r="N469" s="2"/>
    </row>
    <row r="470">
      <c r="I470" s="2"/>
      <c r="J470" s="2"/>
      <c r="K470" s="2"/>
      <c r="N470" s="2"/>
    </row>
    <row r="471">
      <c r="I471" s="2"/>
      <c r="J471" s="2"/>
      <c r="K471" s="2"/>
      <c r="N471" s="2"/>
    </row>
    <row r="472">
      <c r="I472" s="2"/>
      <c r="J472" s="2"/>
      <c r="K472" s="2"/>
      <c r="N472" s="2"/>
    </row>
    <row r="473">
      <c r="I473" s="2"/>
      <c r="J473" s="2"/>
      <c r="K473" s="2"/>
      <c r="N473" s="2"/>
    </row>
    <row r="474">
      <c r="I474" s="2"/>
      <c r="J474" s="2"/>
      <c r="K474" s="2"/>
      <c r="N474" s="2"/>
    </row>
    <row r="475">
      <c r="I475" s="2"/>
      <c r="J475" s="2"/>
      <c r="K475" s="2"/>
      <c r="N475" s="2"/>
    </row>
    <row r="476">
      <c r="I476" s="2"/>
      <c r="J476" s="2"/>
      <c r="K476" s="2"/>
      <c r="N476" s="2"/>
    </row>
    <row r="477">
      <c r="I477" s="2"/>
      <c r="J477" s="2"/>
      <c r="K477" s="2"/>
      <c r="N477" s="2"/>
    </row>
    <row r="478">
      <c r="I478" s="2"/>
      <c r="J478" s="2"/>
      <c r="K478" s="2"/>
      <c r="N478" s="2"/>
    </row>
    <row r="479">
      <c r="I479" s="2"/>
      <c r="J479" s="2"/>
      <c r="K479" s="2"/>
      <c r="N479" s="2"/>
    </row>
    <row r="480">
      <c r="I480" s="2"/>
      <c r="J480" s="2"/>
      <c r="K480" s="2"/>
      <c r="N480" s="2"/>
    </row>
    <row r="481">
      <c r="I481" s="2"/>
      <c r="J481" s="2"/>
      <c r="K481" s="2"/>
      <c r="N481" s="2"/>
    </row>
    <row r="482">
      <c r="I482" s="2"/>
      <c r="J482" s="2"/>
      <c r="K482" s="2"/>
      <c r="N482" s="2"/>
    </row>
    <row r="483">
      <c r="I483" s="2"/>
      <c r="J483" s="2"/>
      <c r="K483" s="2"/>
      <c r="N483" s="2"/>
    </row>
    <row r="484">
      <c r="I484" s="2"/>
      <c r="J484" s="2"/>
      <c r="K484" s="2"/>
      <c r="N484" s="2"/>
    </row>
    <row r="485">
      <c r="I485" s="2"/>
      <c r="J485" s="2"/>
      <c r="K485" s="2"/>
      <c r="N485" s="2"/>
    </row>
    <row r="486">
      <c r="I486" s="2"/>
      <c r="J486" s="2"/>
      <c r="K486" s="2"/>
      <c r="N486" s="2"/>
    </row>
    <row r="487">
      <c r="I487" s="2"/>
      <c r="J487" s="2"/>
      <c r="K487" s="2"/>
      <c r="N487" s="2"/>
    </row>
    <row r="488">
      <c r="I488" s="2"/>
      <c r="J488" s="2"/>
      <c r="K488" s="2"/>
      <c r="N488" s="2"/>
    </row>
    <row r="489">
      <c r="I489" s="2"/>
      <c r="J489" s="2"/>
      <c r="K489" s="2"/>
      <c r="N489" s="2"/>
    </row>
    <row r="490">
      <c r="I490" s="2"/>
      <c r="J490" s="2"/>
      <c r="K490" s="2"/>
      <c r="N490" s="2"/>
    </row>
    <row r="491">
      <c r="I491" s="2"/>
      <c r="J491" s="2"/>
      <c r="K491" s="2"/>
      <c r="N491" s="2"/>
    </row>
    <row r="492">
      <c r="I492" s="2"/>
      <c r="J492" s="2"/>
      <c r="K492" s="2"/>
      <c r="N492" s="2"/>
    </row>
    <row r="493">
      <c r="I493" s="2"/>
      <c r="J493" s="2"/>
      <c r="K493" s="2"/>
      <c r="N493" s="2"/>
    </row>
    <row r="494">
      <c r="I494" s="2"/>
      <c r="J494" s="2"/>
      <c r="K494" s="2"/>
      <c r="N494" s="2"/>
    </row>
    <row r="495">
      <c r="I495" s="2"/>
      <c r="J495" s="2"/>
      <c r="K495" s="2"/>
      <c r="N495" s="2"/>
    </row>
    <row r="496">
      <c r="I496" s="2"/>
      <c r="J496" s="2"/>
      <c r="K496" s="2"/>
      <c r="N496" s="2"/>
    </row>
    <row r="497">
      <c r="I497" s="2"/>
      <c r="J497" s="2"/>
      <c r="K497" s="2"/>
      <c r="N497" s="2"/>
    </row>
    <row r="498">
      <c r="I498" s="2"/>
      <c r="J498" s="2"/>
      <c r="K498" s="2"/>
      <c r="N498" s="2"/>
    </row>
    <row r="499">
      <c r="I499" s="2"/>
      <c r="J499" s="2"/>
      <c r="K499" s="2"/>
      <c r="N499" s="2"/>
    </row>
    <row r="500">
      <c r="I500" s="2"/>
      <c r="J500" s="2"/>
      <c r="K500" s="2"/>
      <c r="N500" s="2"/>
    </row>
    <row r="501">
      <c r="I501" s="2"/>
      <c r="J501" s="2"/>
      <c r="K501" s="2"/>
      <c r="N501" s="2"/>
    </row>
    <row r="502">
      <c r="I502" s="2"/>
      <c r="J502" s="2"/>
      <c r="K502" s="2"/>
      <c r="N502" s="2"/>
    </row>
    <row r="503">
      <c r="I503" s="2"/>
      <c r="J503" s="2"/>
      <c r="K503" s="2"/>
      <c r="N503" s="2"/>
    </row>
    <row r="504">
      <c r="I504" s="2"/>
      <c r="J504" s="2"/>
      <c r="K504" s="2"/>
      <c r="N504" s="2"/>
    </row>
    <row r="505">
      <c r="I505" s="2"/>
      <c r="J505" s="2"/>
      <c r="K505" s="2"/>
      <c r="N505" s="2"/>
    </row>
    <row r="506">
      <c r="I506" s="2"/>
      <c r="J506" s="2"/>
      <c r="K506" s="2"/>
      <c r="N506" s="2"/>
    </row>
    <row r="507">
      <c r="I507" s="2"/>
      <c r="J507" s="2"/>
      <c r="K507" s="2"/>
      <c r="N507" s="2"/>
    </row>
    <row r="508">
      <c r="I508" s="2"/>
      <c r="J508" s="2"/>
      <c r="K508" s="2"/>
      <c r="N508" s="2"/>
    </row>
    <row r="509">
      <c r="I509" s="2"/>
      <c r="J509" s="2"/>
      <c r="K509" s="2"/>
      <c r="N509" s="2"/>
    </row>
    <row r="510">
      <c r="I510" s="2"/>
      <c r="J510" s="2"/>
      <c r="K510" s="2"/>
      <c r="N510" s="2"/>
    </row>
    <row r="511">
      <c r="I511" s="2"/>
      <c r="J511" s="2"/>
      <c r="K511" s="2"/>
      <c r="N511" s="2"/>
    </row>
    <row r="512">
      <c r="I512" s="2"/>
      <c r="J512" s="2"/>
      <c r="K512" s="2"/>
      <c r="N512" s="2"/>
    </row>
    <row r="513">
      <c r="I513" s="2"/>
      <c r="J513" s="2"/>
      <c r="K513" s="2"/>
      <c r="N513" s="2"/>
    </row>
    <row r="514">
      <c r="I514" s="2"/>
      <c r="J514" s="2"/>
      <c r="K514" s="2"/>
      <c r="N514" s="2"/>
    </row>
    <row r="515">
      <c r="I515" s="2"/>
      <c r="J515" s="2"/>
      <c r="K515" s="2"/>
      <c r="N515" s="2"/>
    </row>
    <row r="516">
      <c r="I516" s="2"/>
      <c r="J516" s="2"/>
      <c r="K516" s="2"/>
      <c r="N516" s="2"/>
    </row>
    <row r="517">
      <c r="I517" s="2"/>
      <c r="J517" s="2"/>
      <c r="K517" s="2"/>
      <c r="N517" s="2"/>
    </row>
    <row r="518">
      <c r="I518" s="2"/>
      <c r="J518" s="2"/>
      <c r="K518" s="2"/>
      <c r="N518" s="2"/>
    </row>
    <row r="519">
      <c r="I519" s="2"/>
      <c r="J519" s="2"/>
      <c r="K519" s="2"/>
      <c r="N519" s="2"/>
    </row>
    <row r="520">
      <c r="I520" s="2"/>
      <c r="J520" s="2"/>
      <c r="K520" s="2"/>
      <c r="N520" s="2"/>
    </row>
    <row r="521">
      <c r="I521" s="2"/>
      <c r="J521" s="2"/>
      <c r="K521" s="2"/>
      <c r="N521" s="2"/>
    </row>
    <row r="522">
      <c r="I522" s="2"/>
      <c r="J522" s="2"/>
      <c r="K522" s="2"/>
      <c r="N522" s="2"/>
    </row>
    <row r="523">
      <c r="I523" s="2"/>
      <c r="J523" s="2"/>
      <c r="K523" s="2"/>
      <c r="N523" s="2"/>
    </row>
    <row r="524">
      <c r="I524" s="2"/>
      <c r="J524" s="2"/>
      <c r="K524" s="2"/>
      <c r="N524" s="2"/>
    </row>
    <row r="525">
      <c r="I525" s="2"/>
      <c r="J525" s="2"/>
      <c r="K525" s="2"/>
      <c r="N525" s="2"/>
    </row>
    <row r="526">
      <c r="I526" s="2"/>
      <c r="J526" s="2"/>
      <c r="K526" s="2"/>
      <c r="N526" s="2"/>
    </row>
    <row r="527">
      <c r="I527" s="2"/>
      <c r="J527" s="2"/>
      <c r="K527" s="2"/>
      <c r="N527" s="2"/>
    </row>
    <row r="528">
      <c r="I528" s="2"/>
      <c r="J528" s="2"/>
      <c r="K528" s="2"/>
      <c r="N528" s="2"/>
    </row>
    <row r="529">
      <c r="I529" s="2"/>
      <c r="J529" s="2"/>
      <c r="K529" s="2"/>
      <c r="N529" s="2"/>
    </row>
    <row r="530">
      <c r="I530" s="2"/>
      <c r="J530" s="2"/>
      <c r="K530" s="2"/>
      <c r="N530" s="2"/>
    </row>
    <row r="531">
      <c r="I531" s="2"/>
      <c r="J531" s="2"/>
      <c r="K531" s="2"/>
      <c r="N531" s="2"/>
    </row>
    <row r="532">
      <c r="I532" s="2"/>
      <c r="J532" s="2"/>
      <c r="K532" s="2"/>
      <c r="N532" s="2"/>
    </row>
    <row r="533">
      <c r="I533" s="2"/>
      <c r="J533" s="2"/>
      <c r="K533" s="2"/>
      <c r="N533" s="2"/>
    </row>
    <row r="534">
      <c r="I534" s="2"/>
      <c r="J534" s="2"/>
      <c r="K534" s="2"/>
      <c r="N534" s="2"/>
    </row>
    <row r="535">
      <c r="I535" s="2"/>
      <c r="J535" s="2"/>
      <c r="K535" s="2"/>
      <c r="N535" s="2"/>
    </row>
    <row r="536">
      <c r="I536" s="2"/>
      <c r="J536" s="2"/>
      <c r="K536" s="2"/>
      <c r="N536" s="2"/>
    </row>
    <row r="537">
      <c r="I537" s="2"/>
      <c r="J537" s="2"/>
      <c r="K537" s="2"/>
      <c r="N537" s="2"/>
    </row>
    <row r="538">
      <c r="I538" s="2"/>
      <c r="J538" s="2"/>
      <c r="K538" s="2"/>
      <c r="N538" s="2"/>
    </row>
    <row r="539">
      <c r="I539" s="2"/>
      <c r="J539" s="2"/>
      <c r="K539" s="2"/>
      <c r="N539" s="2"/>
    </row>
    <row r="540">
      <c r="I540" s="2"/>
      <c r="J540" s="2"/>
      <c r="K540" s="2"/>
      <c r="N540" s="2"/>
    </row>
    <row r="541">
      <c r="I541" s="2"/>
      <c r="J541" s="2"/>
      <c r="K541" s="2"/>
      <c r="N541" s="2"/>
    </row>
    <row r="542">
      <c r="I542" s="2"/>
      <c r="J542" s="2"/>
      <c r="K542" s="2"/>
      <c r="N542" s="2"/>
    </row>
    <row r="543">
      <c r="I543" s="2"/>
      <c r="J543" s="2"/>
      <c r="K543" s="2"/>
      <c r="N543" s="2"/>
    </row>
    <row r="544">
      <c r="I544" s="2"/>
      <c r="J544" s="2"/>
      <c r="K544" s="2"/>
      <c r="N544" s="2"/>
    </row>
    <row r="545">
      <c r="I545" s="2"/>
      <c r="J545" s="2"/>
      <c r="K545" s="2"/>
      <c r="N545" s="2"/>
    </row>
    <row r="546">
      <c r="I546" s="2"/>
      <c r="J546" s="2"/>
      <c r="K546" s="2"/>
      <c r="N546" s="2"/>
    </row>
    <row r="547">
      <c r="I547" s="2"/>
      <c r="J547" s="2"/>
      <c r="K547" s="2"/>
      <c r="N547" s="2"/>
    </row>
    <row r="548">
      <c r="I548" s="2"/>
      <c r="J548" s="2"/>
      <c r="K548" s="2"/>
      <c r="N548" s="2"/>
    </row>
    <row r="549">
      <c r="I549" s="2"/>
      <c r="J549" s="2"/>
      <c r="K549" s="2"/>
      <c r="N549" s="2"/>
    </row>
    <row r="550">
      <c r="I550" s="2"/>
      <c r="J550" s="2"/>
      <c r="K550" s="2"/>
      <c r="N550" s="2"/>
    </row>
    <row r="551">
      <c r="I551" s="2"/>
      <c r="J551" s="2"/>
      <c r="K551" s="2"/>
      <c r="N551" s="2"/>
    </row>
    <row r="552">
      <c r="I552" s="2"/>
      <c r="J552" s="2"/>
      <c r="K552" s="2"/>
      <c r="N552" s="2"/>
    </row>
    <row r="553">
      <c r="I553" s="2"/>
      <c r="J553" s="2"/>
      <c r="K553" s="2"/>
      <c r="N553" s="2"/>
    </row>
    <row r="554">
      <c r="I554" s="2"/>
      <c r="J554" s="2"/>
      <c r="K554" s="2"/>
      <c r="N554" s="2"/>
    </row>
    <row r="555">
      <c r="I555" s="2"/>
      <c r="J555" s="2"/>
      <c r="K555" s="2"/>
      <c r="N555" s="2"/>
    </row>
    <row r="556">
      <c r="I556" s="2"/>
      <c r="J556" s="2"/>
      <c r="K556" s="2"/>
      <c r="N556" s="2"/>
    </row>
    <row r="557">
      <c r="I557" s="2"/>
      <c r="J557" s="2"/>
      <c r="K557" s="2"/>
      <c r="N557" s="2"/>
    </row>
    <row r="558">
      <c r="I558" s="2"/>
      <c r="J558" s="2"/>
      <c r="K558" s="2"/>
      <c r="N558" s="2"/>
    </row>
    <row r="559">
      <c r="I559" s="2"/>
      <c r="J559" s="2"/>
      <c r="K559" s="2"/>
      <c r="N559" s="2"/>
    </row>
    <row r="560">
      <c r="I560" s="2"/>
      <c r="J560" s="2"/>
      <c r="K560" s="2"/>
      <c r="N560" s="2"/>
    </row>
    <row r="561">
      <c r="I561" s="2"/>
      <c r="J561" s="2"/>
      <c r="K561" s="2"/>
      <c r="N561" s="2"/>
    </row>
    <row r="562">
      <c r="I562" s="2"/>
      <c r="J562" s="2"/>
      <c r="K562" s="2"/>
      <c r="N562" s="2"/>
    </row>
    <row r="563">
      <c r="I563" s="2"/>
      <c r="J563" s="2"/>
      <c r="K563" s="2"/>
      <c r="N563" s="2"/>
    </row>
    <row r="564">
      <c r="I564" s="2"/>
      <c r="J564" s="2"/>
      <c r="K564" s="2"/>
      <c r="N564" s="2"/>
    </row>
    <row r="565">
      <c r="I565" s="2"/>
      <c r="J565" s="2"/>
      <c r="K565" s="2"/>
      <c r="N565" s="2"/>
    </row>
    <row r="566">
      <c r="I566" s="2"/>
      <c r="J566" s="2"/>
      <c r="K566" s="2"/>
      <c r="N566" s="2"/>
    </row>
    <row r="567">
      <c r="I567" s="2"/>
      <c r="J567" s="2"/>
      <c r="K567" s="2"/>
      <c r="N567" s="2"/>
    </row>
    <row r="568">
      <c r="I568" s="2"/>
      <c r="J568" s="2"/>
      <c r="K568" s="2"/>
      <c r="N568" s="2"/>
    </row>
    <row r="569">
      <c r="I569" s="2"/>
      <c r="J569" s="2"/>
      <c r="K569" s="2"/>
      <c r="N569" s="2"/>
    </row>
    <row r="570">
      <c r="I570" s="2"/>
      <c r="J570" s="2"/>
      <c r="K570" s="2"/>
      <c r="N570" s="2"/>
    </row>
    <row r="571">
      <c r="I571" s="2"/>
      <c r="J571" s="2"/>
      <c r="K571" s="2"/>
      <c r="N571" s="2"/>
    </row>
    <row r="572">
      <c r="I572" s="2"/>
      <c r="J572" s="2"/>
      <c r="K572" s="2"/>
      <c r="N572" s="2"/>
    </row>
    <row r="573">
      <c r="I573" s="2"/>
      <c r="J573" s="2"/>
      <c r="K573" s="2"/>
      <c r="N573" s="2"/>
    </row>
    <row r="574">
      <c r="I574" s="2"/>
      <c r="J574" s="2"/>
      <c r="K574" s="2"/>
      <c r="N574" s="2"/>
    </row>
    <row r="575">
      <c r="I575" s="2"/>
      <c r="J575" s="2"/>
      <c r="K575" s="2"/>
      <c r="N575" s="2"/>
    </row>
    <row r="576">
      <c r="I576" s="2"/>
      <c r="J576" s="2"/>
      <c r="K576" s="2"/>
      <c r="N576" s="2"/>
    </row>
    <row r="577">
      <c r="I577" s="2"/>
      <c r="J577" s="2"/>
      <c r="K577" s="2"/>
      <c r="N577" s="2"/>
    </row>
    <row r="578">
      <c r="I578" s="2"/>
      <c r="J578" s="2"/>
      <c r="K578" s="2"/>
      <c r="N578" s="2"/>
    </row>
    <row r="579">
      <c r="I579" s="2"/>
      <c r="J579" s="2"/>
      <c r="K579" s="2"/>
      <c r="N579" s="2"/>
    </row>
    <row r="580">
      <c r="I580" s="2"/>
      <c r="J580" s="2"/>
      <c r="K580" s="2"/>
      <c r="N580" s="2"/>
    </row>
    <row r="581">
      <c r="I581" s="2"/>
      <c r="J581" s="2"/>
      <c r="K581" s="2"/>
      <c r="N581" s="2"/>
    </row>
    <row r="582">
      <c r="I582" s="2"/>
      <c r="J582" s="2"/>
      <c r="K582" s="2"/>
      <c r="N582" s="2"/>
    </row>
    <row r="583">
      <c r="I583" s="2"/>
      <c r="J583" s="2"/>
      <c r="K583" s="2"/>
      <c r="N583" s="2"/>
    </row>
    <row r="584">
      <c r="I584" s="2"/>
      <c r="J584" s="2"/>
      <c r="K584" s="2"/>
      <c r="N584" s="2"/>
    </row>
    <row r="585">
      <c r="I585" s="2"/>
      <c r="J585" s="2"/>
      <c r="K585" s="2"/>
      <c r="N585" s="2"/>
    </row>
    <row r="586">
      <c r="I586" s="2"/>
      <c r="J586" s="2"/>
      <c r="K586" s="2"/>
      <c r="N586" s="2"/>
    </row>
    <row r="587">
      <c r="I587" s="2"/>
      <c r="J587" s="2"/>
      <c r="K587" s="2"/>
      <c r="N587" s="2"/>
    </row>
    <row r="588">
      <c r="I588" s="2"/>
      <c r="J588" s="2"/>
      <c r="K588" s="2"/>
      <c r="N588" s="2"/>
    </row>
    <row r="589">
      <c r="I589" s="2"/>
      <c r="J589" s="2"/>
      <c r="K589" s="2"/>
      <c r="N589" s="2"/>
    </row>
    <row r="590">
      <c r="I590" s="2"/>
      <c r="J590" s="2"/>
      <c r="K590" s="2"/>
      <c r="N590" s="2"/>
    </row>
    <row r="591">
      <c r="I591" s="2"/>
      <c r="J591" s="2"/>
      <c r="K591" s="2"/>
      <c r="N591" s="2"/>
    </row>
    <row r="592">
      <c r="I592" s="2"/>
      <c r="J592" s="2"/>
      <c r="K592" s="2"/>
      <c r="N592" s="2"/>
    </row>
    <row r="593">
      <c r="I593" s="2"/>
      <c r="J593" s="2"/>
      <c r="K593" s="2"/>
      <c r="N593" s="2"/>
    </row>
    <row r="594">
      <c r="I594" s="2"/>
      <c r="J594" s="2"/>
      <c r="K594" s="2"/>
      <c r="N594" s="2"/>
    </row>
    <row r="595">
      <c r="I595" s="2"/>
      <c r="J595" s="2"/>
      <c r="K595" s="2"/>
      <c r="N595" s="2"/>
    </row>
    <row r="596">
      <c r="I596" s="2"/>
      <c r="J596" s="2"/>
      <c r="K596" s="2"/>
      <c r="N596" s="2"/>
    </row>
    <row r="597">
      <c r="I597" s="2"/>
      <c r="J597" s="2"/>
      <c r="K597" s="2"/>
      <c r="N597" s="2"/>
    </row>
    <row r="598">
      <c r="I598" s="2"/>
      <c r="J598" s="2"/>
      <c r="K598" s="2"/>
      <c r="N598" s="2"/>
    </row>
    <row r="599">
      <c r="I599" s="2"/>
      <c r="J599" s="2"/>
      <c r="K599" s="2"/>
      <c r="N599" s="2"/>
    </row>
    <row r="600">
      <c r="I600" s="2"/>
      <c r="J600" s="2"/>
      <c r="K600" s="2"/>
      <c r="N600" s="2"/>
    </row>
    <row r="601">
      <c r="I601" s="2"/>
      <c r="J601" s="2"/>
      <c r="K601" s="2"/>
      <c r="N601" s="2"/>
    </row>
    <row r="602">
      <c r="I602" s="2"/>
      <c r="J602" s="2"/>
      <c r="K602" s="2"/>
      <c r="N602" s="2"/>
    </row>
    <row r="603">
      <c r="I603" s="2"/>
      <c r="J603" s="2"/>
      <c r="K603" s="2"/>
      <c r="N603" s="2"/>
    </row>
    <row r="604">
      <c r="I604" s="2"/>
      <c r="J604" s="2"/>
      <c r="K604" s="2"/>
      <c r="N604" s="2"/>
    </row>
    <row r="605">
      <c r="I605" s="2"/>
      <c r="J605" s="2"/>
      <c r="K605" s="2"/>
      <c r="N605" s="2"/>
    </row>
    <row r="606">
      <c r="I606" s="2"/>
      <c r="J606" s="2"/>
      <c r="K606" s="2"/>
      <c r="N606" s="2"/>
    </row>
    <row r="607">
      <c r="I607" s="2"/>
      <c r="J607" s="2"/>
      <c r="K607" s="2"/>
      <c r="N607" s="2"/>
    </row>
    <row r="608">
      <c r="I608" s="2"/>
      <c r="J608" s="2"/>
      <c r="K608" s="2"/>
      <c r="N608" s="2"/>
    </row>
    <row r="609">
      <c r="I609" s="2"/>
      <c r="J609" s="2"/>
      <c r="K609" s="2"/>
      <c r="N609" s="2"/>
    </row>
    <row r="610">
      <c r="I610" s="2"/>
      <c r="J610" s="2"/>
      <c r="K610" s="2"/>
      <c r="N610" s="2"/>
    </row>
    <row r="611">
      <c r="I611" s="2"/>
      <c r="J611" s="2"/>
      <c r="K611" s="2"/>
      <c r="N611" s="2"/>
    </row>
    <row r="612">
      <c r="I612" s="2"/>
      <c r="J612" s="2"/>
      <c r="K612" s="2"/>
      <c r="N612" s="2"/>
    </row>
    <row r="613">
      <c r="I613" s="2"/>
      <c r="J613" s="2"/>
      <c r="K613" s="2"/>
      <c r="N613" s="2"/>
    </row>
    <row r="614">
      <c r="I614" s="2"/>
      <c r="J614" s="2"/>
      <c r="K614" s="2"/>
      <c r="N614" s="2"/>
    </row>
    <row r="615">
      <c r="I615" s="2"/>
      <c r="J615" s="2"/>
      <c r="K615" s="2"/>
      <c r="N615" s="2"/>
    </row>
    <row r="616">
      <c r="I616" s="2"/>
      <c r="J616" s="2"/>
      <c r="K616" s="2"/>
      <c r="N616" s="2"/>
    </row>
    <row r="617">
      <c r="I617" s="2"/>
      <c r="J617" s="2"/>
      <c r="K617" s="2"/>
      <c r="N617" s="2"/>
    </row>
    <row r="618">
      <c r="I618" s="2"/>
      <c r="J618" s="2"/>
      <c r="K618" s="2"/>
      <c r="N618" s="2"/>
    </row>
    <row r="619">
      <c r="I619" s="2"/>
      <c r="J619" s="2"/>
      <c r="K619" s="2"/>
      <c r="N619" s="2"/>
    </row>
    <row r="620">
      <c r="I620" s="2"/>
      <c r="J620" s="2"/>
      <c r="K620" s="2"/>
      <c r="N620" s="2"/>
    </row>
    <row r="621">
      <c r="I621" s="2"/>
      <c r="J621" s="2"/>
      <c r="K621" s="2"/>
      <c r="N621" s="2"/>
    </row>
    <row r="622">
      <c r="I622" s="2"/>
      <c r="J622" s="2"/>
      <c r="K622" s="2"/>
      <c r="N622" s="2"/>
    </row>
    <row r="623">
      <c r="I623" s="2"/>
      <c r="J623" s="2"/>
      <c r="K623" s="2"/>
      <c r="N623" s="2"/>
    </row>
    <row r="624">
      <c r="I624" s="2"/>
      <c r="J624" s="2"/>
      <c r="K624" s="2"/>
      <c r="N624" s="2"/>
    </row>
    <row r="625">
      <c r="I625" s="2"/>
      <c r="J625" s="2"/>
      <c r="K625" s="2"/>
      <c r="N625" s="2"/>
    </row>
    <row r="626">
      <c r="I626" s="2"/>
      <c r="J626" s="2"/>
      <c r="K626" s="2"/>
      <c r="N626" s="2"/>
    </row>
    <row r="627">
      <c r="I627" s="2"/>
      <c r="J627" s="2"/>
      <c r="K627" s="2"/>
      <c r="N627" s="2"/>
    </row>
    <row r="628">
      <c r="I628" s="2"/>
      <c r="J628" s="2"/>
      <c r="K628" s="2"/>
      <c r="N628" s="2"/>
    </row>
    <row r="629">
      <c r="I629" s="2"/>
      <c r="J629" s="2"/>
      <c r="K629" s="2"/>
      <c r="N629" s="2"/>
    </row>
    <row r="630">
      <c r="I630" s="2"/>
      <c r="J630" s="2"/>
      <c r="K630" s="2"/>
      <c r="N630" s="2"/>
    </row>
    <row r="631">
      <c r="I631" s="2"/>
      <c r="J631" s="2"/>
      <c r="K631" s="2"/>
      <c r="N631" s="2"/>
    </row>
    <row r="632">
      <c r="I632" s="2"/>
      <c r="J632" s="2"/>
      <c r="K632" s="2"/>
      <c r="N632" s="2"/>
    </row>
    <row r="633">
      <c r="I633" s="2"/>
      <c r="J633" s="2"/>
      <c r="K633" s="2"/>
      <c r="N633" s="2"/>
    </row>
    <row r="634">
      <c r="I634" s="2"/>
      <c r="J634" s="2"/>
      <c r="K634" s="2"/>
      <c r="N634" s="2"/>
    </row>
    <row r="635">
      <c r="I635" s="2"/>
      <c r="J635" s="2"/>
      <c r="K635" s="2"/>
      <c r="N635" s="2"/>
    </row>
    <row r="636">
      <c r="I636" s="2"/>
      <c r="J636" s="2"/>
      <c r="K636" s="2"/>
      <c r="N636" s="2"/>
    </row>
    <row r="637">
      <c r="I637" s="2"/>
      <c r="J637" s="2"/>
      <c r="K637" s="2"/>
      <c r="N637" s="2"/>
    </row>
    <row r="638">
      <c r="I638" s="2"/>
      <c r="J638" s="2"/>
      <c r="K638" s="2"/>
      <c r="N638" s="2"/>
    </row>
    <row r="639">
      <c r="I639" s="2"/>
      <c r="J639" s="2"/>
      <c r="K639" s="2"/>
      <c r="N639" s="2"/>
    </row>
    <row r="640">
      <c r="I640" s="2"/>
      <c r="J640" s="2"/>
      <c r="K640" s="2"/>
      <c r="N640" s="2"/>
    </row>
    <row r="641">
      <c r="I641" s="2"/>
      <c r="J641" s="2"/>
      <c r="K641" s="2"/>
      <c r="N641" s="2"/>
    </row>
    <row r="642">
      <c r="I642" s="2"/>
      <c r="J642" s="2"/>
      <c r="K642" s="2"/>
      <c r="N642" s="2"/>
    </row>
    <row r="643">
      <c r="I643" s="2"/>
      <c r="J643" s="2"/>
      <c r="K643" s="2"/>
      <c r="N643" s="2"/>
    </row>
    <row r="644">
      <c r="I644" s="2"/>
      <c r="J644" s="2"/>
      <c r="K644" s="2"/>
      <c r="N644" s="2"/>
    </row>
    <row r="645">
      <c r="I645" s="2"/>
      <c r="J645" s="2"/>
      <c r="K645" s="2"/>
      <c r="N645" s="2"/>
    </row>
    <row r="646">
      <c r="I646" s="2"/>
      <c r="J646" s="2"/>
      <c r="K646" s="2"/>
      <c r="N646" s="2"/>
    </row>
    <row r="647">
      <c r="I647" s="2"/>
      <c r="J647" s="2"/>
      <c r="K647" s="2"/>
      <c r="N647" s="2"/>
    </row>
    <row r="648">
      <c r="I648" s="2"/>
      <c r="J648" s="2"/>
      <c r="K648" s="2"/>
      <c r="N648" s="2"/>
    </row>
    <row r="649">
      <c r="I649" s="2"/>
      <c r="J649" s="2"/>
      <c r="K649" s="2"/>
      <c r="N649" s="2"/>
    </row>
    <row r="650">
      <c r="I650" s="2"/>
      <c r="J650" s="2"/>
      <c r="K650" s="2"/>
      <c r="N650" s="2"/>
    </row>
    <row r="651">
      <c r="I651" s="2"/>
      <c r="J651" s="2"/>
      <c r="K651" s="2"/>
      <c r="N651" s="2"/>
    </row>
    <row r="652">
      <c r="I652" s="2"/>
      <c r="J652" s="2"/>
      <c r="K652" s="2"/>
      <c r="N652" s="2"/>
    </row>
    <row r="653">
      <c r="I653" s="2"/>
      <c r="J653" s="2"/>
      <c r="K653" s="2"/>
      <c r="N653" s="2"/>
    </row>
    <row r="654">
      <c r="I654" s="2"/>
      <c r="J654" s="2"/>
      <c r="K654" s="2"/>
      <c r="N654" s="2"/>
    </row>
    <row r="655">
      <c r="I655" s="2"/>
      <c r="J655" s="2"/>
      <c r="K655" s="2"/>
      <c r="N655" s="2"/>
    </row>
    <row r="656">
      <c r="I656" s="2"/>
      <c r="J656" s="2"/>
      <c r="K656" s="2"/>
      <c r="N656" s="2"/>
    </row>
    <row r="657">
      <c r="I657" s="2"/>
      <c r="J657" s="2"/>
      <c r="K657" s="2"/>
      <c r="N657" s="2"/>
    </row>
    <row r="658">
      <c r="I658" s="2"/>
      <c r="J658" s="2"/>
      <c r="K658" s="2"/>
      <c r="N658" s="2"/>
    </row>
    <row r="659">
      <c r="I659" s="2"/>
      <c r="J659" s="2"/>
      <c r="K659" s="2"/>
      <c r="N659" s="2"/>
    </row>
    <row r="660">
      <c r="I660" s="2"/>
      <c r="J660" s="2"/>
      <c r="K660" s="2"/>
      <c r="N660" s="2"/>
    </row>
    <row r="661">
      <c r="I661" s="2"/>
      <c r="J661" s="2"/>
      <c r="K661" s="2"/>
      <c r="N661" s="2"/>
    </row>
    <row r="662">
      <c r="I662" s="2"/>
      <c r="J662" s="2"/>
      <c r="K662" s="2"/>
      <c r="N662" s="2"/>
    </row>
    <row r="663">
      <c r="I663" s="2"/>
      <c r="J663" s="2"/>
      <c r="K663" s="2"/>
      <c r="N663" s="2"/>
    </row>
    <row r="664">
      <c r="I664" s="2"/>
      <c r="J664" s="2"/>
      <c r="K664" s="2"/>
      <c r="N664" s="2"/>
    </row>
    <row r="665">
      <c r="I665" s="2"/>
      <c r="J665" s="2"/>
      <c r="K665" s="2"/>
      <c r="N665" s="2"/>
    </row>
    <row r="666">
      <c r="I666" s="2"/>
      <c r="J666" s="2"/>
      <c r="K666" s="2"/>
      <c r="N666" s="2"/>
    </row>
    <row r="667">
      <c r="I667" s="2"/>
      <c r="J667" s="2"/>
      <c r="K667" s="2"/>
      <c r="N667" s="2"/>
    </row>
    <row r="668">
      <c r="I668" s="2"/>
      <c r="J668" s="2"/>
      <c r="K668" s="2"/>
      <c r="N668" s="2"/>
    </row>
    <row r="669">
      <c r="I669" s="2"/>
      <c r="J669" s="2"/>
      <c r="K669" s="2"/>
      <c r="N669" s="2"/>
    </row>
    <row r="670">
      <c r="I670" s="2"/>
      <c r="J670" s="2"/>
      <c r="K670" s="2"/>
      <c r="N670" s="2"/>
    </row>
    <row r="671">
      <c r="I671" s="2"/>
      <c r="J671" s="2"/>
      <c r="K671" s="2"/>
      <c r="N671" s="2"/>
    </row>
    <row r="672">
      <c r="I672" s="2"/>
      <c r="J672" s="2"/>
      <c r="K672" s="2"/>
      <c r="N672" s="2"/>
    </row>
    <row r="673">
      <c r="I673" s="2"/>
      <c r="J673" s="2"/>
      <c r="K673" s="2"/>
      <c r="N673" s="2"/>
    </row>
    <row r="674">
      <c r="I674" s="2"/>
      <c r="J674" s="2"/>
      <c r="K674" s="2"/>
      <c r="N674" s="2"/>
    </row>
    <row r="675">
      <c r="I675" s="2"/>
      <c r="J675" s="2"/>
      <c r="K675" s="2"/>
      <c r="N675" s="2"/>
    </row>
    <row r="676">
      <c r="I676" s="2"/>
      <c r="J676" s="2"/>
      <c r="K676" s="2"/>
      <c r="N676" s="2"/>
    </row>
    <row r="677">
      <c r="I677" s="2"/>
      <c r="J677" s="2"/>
      <c r="K677" s="2"/>
      <c r="N677" s="2"/>
    </row>
    <row r="678">
      <c r="I678" s="2"/>
      <c r="J678" s="2"/>
      <c r="K678" s="2"/>
      <c r="N678" s="2"/>
    </row>
    <row r="679">
      <c r="I679" s="2"/>
      <c r="J679" s="2"/>
      <c r="K679" s="2"/>
      <c r="N679" s="2"/>
    </row>
    <row r="680">
      <c r="I680" s="2"/>
      <c r="J680" s="2"/>
      <c r="K680" s="2"/>
      <c r="N680" s="2"/>
    </row>
    <row r="681">
      <c r="I681" s="2"/>
      <c r="J681" s="2"/>
      <c r="K681" s="2"/>
      <c r="N681" s="2"/>
    </row>
    <row r="682">
      <c r="I682" s="2"/>
      <c r="J682" s="2"/>
      <c r="K682" s="2"/>
      <c r="N682" s="2"/>
    </row>
    <row r="683">
      <c r="I683" s="2"/>
      <c r="J683" s="2"/>
      <c r="K683" s="2"/>
      <c r="N683" s="2"/>
    </row>
    <row r="684">
      <c r="I684" s="2"/>
      <c r="J684" s="2"/>
      <c r="K684" s="2"/>
      <c r="N684" s="2"/>
    </row>
    <row r="685">
      <c r="I685" s="2"/>
      <c r="J685" s="2"/>
      <c r="K685" s="2"/>
      <c r="N685" s="2"/>
    </row>
    <row r="686">
      <c r="I686" s="2"/>
      <c r="J686" s="2"/>
      <c r="K686" s="2"/>
      <c r="N686" s="2"/>
    </row>
    <row r="687">
      <c r="I687" s="2"/>
      <c r="J687" s="2"/>
      <c r="K687" s="2"/>
      <c r="N687" s="2"/>
    </row>
    <row r="688">
      <c r="I688" s="2"/>
      <c r="J688" s="2"/>
      <c r="K688" s="2"/>
      <c r="N688" s="2"/>
    </row>
    <row r="689">
      <c r="I689" s="2"/>
      <c r="J689" s="2"/>
      <c r="K689" s="2"/>
      <c r="N689" s="2"/>
    </row>
    <row r="690">
      <c r="I690" s="2"/>
      <c r="J690" s="2"/>
      <c r="K690" s="2"/>
      <c r="N690" s="2"/>
    </row>
    <row r="691">
      <c r="I691" s="2"/>
      <c r="J691" s="2"/>
      <c r="K691" s="2"/>
      <c r="N691" s="2"/>
    </row>
    <row r="692">
      <c r="I692" s="2"/>
      <c r="J692" s="2"/>
      <c r="K692" s="2"/>
      <c r="N692" s="2"/>
    </row>
    <row r="693">
      <c r="I693" s="2"/>
      <c r="J693" s="2"/>
      <c r="K693" s="2"/>
      <c r="N693" s="2"/>
    </row>
    <row r="694">
      <c r="I694" s="2"/>
      <c r="J694" s="2"/>
      <c r="K694" s="2"/>
      <c r="N694" s="2"/>
    </row>
    <row r="695">
      <c r="I695" s="2"/>
      <c r="J695" s="2"/>
      <c r="K695" s="2"/>
      <c r="N695" s="2"/>
    </row>
    <row r="696">
      <c r="I696" s="2"/>
      <c r="J696" s="2"/>
      <c r="K696" s="2"/>
      <c r="N696" s="2"/>
    </row>
    <row r="697">
      <c r="I697" s="2"/>
      <c r="J697" s="2"/>
      <c r="K697" s="2"/>
      <c r="N697" s="2"/>
    </row>
    <row r="698">
      <c r="I698" s="2"/>
      <c r="J698" s="2"/>
      <c r="K698" s="2"/>
      <c r="N698" s="2"/>
    </row>
    <row r="699">
      <c r="I699" s="2"/>
      <c r="J699" s="2"/>
      <c r="K699" s="2"/>
      <c r="N699" s="2"/>
    </row>
    <row r="700">
      <c r="I700" s="2"/>
      <c r="J700" s="2"/>
      <c r="K700" s="2"/>
      <c r="N700" s="2"/>
    </row>
    <row r="701">
      <c r="I701" s="2"/>
      <c r="J701" s="2"/>
      <c r="K701" s="2"/>
      <c r="N701" s="2"/>
    </row>
    <row r="702">
      <c r="I702" s="2"/>
      <c r="J702" s="2"/>
      <c r="K702" s="2"/>
      <c r="N702" s="2"/>
    </row>
    <row r="703">
      <c r="I703" s="2"/>
      <c r="J703" s="2"/>
      <c r="K703" s="2"/>
      <c r="N703" s="2"/>
    </row>
    <row r="704">
      <c r="I704" s="2"/>
      <c r="J704" s="2"/>
      <c r="K704" s="2"/>
      <c r="N704" s="2"/>
    </row>
    <row r="705">
      <c r="I705" s="2"/>
      <c r="J705" s="2"/>
      <c r="K705" s="2"/>
      <c r="N705" s="2"/>
    </row>
    <row r="706">
      <c r="I706" s="2"/>
      <c r="J706" s="2"/>
      <c r="K706" s="2"/>
      <c r="N706" s="2"/>
    </row>
    <row r="707">
      <c r="I707" s="2"/>
      <c r="J707" s="2"/>
      <c r="K707" s="2"/>
      <c r="N707" s="2"/>
    </row>
    <row r="708">
      <c r="I708" s="2"/>
      <c r="J708" s="2"/>
      <c r="K708" s="2"/>
      <c r="N708" s="2"/>
    </row>
    <row r="709">
      <c r="I709" s="2"/>
      <c r="J709" s="2"/>
      <c r="K709" s="2"/>
      <c r="N709" s="2"/>
    </row>
    <row r="710">
      <c r="I710" s="2"/>
      <c r="J710" s="2"/>
      <c r="K710" s="2"/>
      <c r="N710" s="2"/>
    </row>
    <row r="711">
      <c r="I711" s="2"/>
      <c r="J711" s="2"/>
      <c r="K711" s="2"/>
      <c r="N711" s="2"/>
    </row>
    <row r="712">
      <c r="I712" s="2"/>
      <c r="J712" s="2"/>
      <c r="K712" s="2"/>
      <c r="N712" s="2"/>
    </row>
    <row r="713">
      <c r="I713" s="2"/>
      <c r="J713" s="2"/>
      <c r="K713" s="2"/>
      <c r="N713" s="2"/>
    </row>
    <row r="714">
      <c r="I714" s="2"/>
      <c r="J714" s="2"/>
      <c r="K714" s="2"/>
      <c r="N714" s="2"/>
    </row>
    <row r="715">
      <c r="I715" s="2"/>
      <c r="J715" s="2"/>
      <c r="K715" s="2"/>
      <c r="N715" s="2"/>
    </row>
    <row r="716">
      <c r="I716" s="2"/>
      <c r="J716" s="2"/>
      <c r="K716" s="2"/>
      <c r="N716" s="2"/>
    </row>
    <row r="717">
      <c r="I717" s="2"/>
      <c r="J717" s="2"/>
      <c r="K717" s="2"/>
      <c r="N717" s="2"/>
    </row>
    <row r="718">
      <c r="I718" s="2"/>
      <c r="J718" s="2"/>
      <c r="K718" s="2"/>
      <c r="N718" s="2"/>
    </row>
    <row r="719">
      <c r="I719" s="2"/>
      <c r="J719" s="2"/>
      <c r="K719" s="2"/>
      <c r="N719" s="2"/>
    </row>
    <row r="720">
      <c r="I720" s="2"/>
      <c r="J720" s="2"/>
      <c r="K720" s="2"/>
      <c r="N720" s="2"/>
    </row>
    <row r="721">
      <c r="I721" s="2"/>
      <c r="J721" s="2"/>
      <c r="K721" s="2"/>
      <c r="N721" s="2"/>
    </row>
    <row r="722">
      <c r="I722" s="2"/>
      <c r="J722" s="2"/>
      <c r="K722" s="2"/>
      <c r="N722" s="2"/>
    </row>
    <row r="723">
      <c r="I723" s="2"/>
      <c r="J723" s="2"/>
      <c r="K723" s="2"/>
      <c r="N723" s="2"/>
    </row>
    <row r="724">
      <c r="I724" s="2"/>
      <c r="J724" s="2"/>
      <c r="K724" s="2"/>
      <c r="N724" s="2"/>
    </row>
    <row r="725">
      <c r="I725" s="2"/>
      <c r="J725" s="2"/>
      <c r="K725" s="2"/>
      <c r="N725" s="2"/>
    </row>
    <row r="726">
      <c r="I726" s="2"/>
      <c r="J726" s="2"/>
      <c r="K726" s="2"/>
      <c r="N726" s="2"/>
    </row>
    <row r="727">
      <c r="I727" s="2"/>
      <c r="J727" s="2"/>
      <c r="K727" s="2"/>
      <c r="N727" s="2"/>
    </row>
    <row r="728">
      <c r="I728" s="2"/>
      <c r="J728" s="2"/>
      <c r="K728" s="2"/>
      <c r="N728" s="2"/>
    </row>
    <row r="729">
      <c r="I729" s="2"/>
      <c r="J729" s="2"/>
      <c r="K729" s="2"/>
      <c r="N729" s="2"/>
    </row>
    <row r="730">
      <c r="I730" s="2"/>
      <c r="J730" s="2"/>
      <c r="K730" s="2"/>
      <c r="N730" s="2"/>
    </row>
    <row r="731">
      <c r="I731" s="2"/>
      <c r="J731" s="2"/>
      <c r="K731" s="2"/>
      <c r="N731" s="2"/>
    </row>
    <row r="732">
      <c r="I732" s="2"/>
      <c r="J732" s="2"/>
      <c r="K732" s="2"/>
      <c r="N732" s="2"/>
    </row>
    <row r="733">
      <c r="I733" s="2"/>
      <c r="J733" s="2"/>
      <c r="K733" s="2"/>
      <c r="N733" s="2"/>
    </row>
    <row r="734">
      <c r="I734" s="2"/>
      <c r="J734" s="2"/>
      <c r="K734" s="2"/>
      <c r="N734" s="2"/>
    </row>
    <row r="735">
      <c r="I735" s="2"/>
      <c r="J735" s="2"/>
      <c r="K735" s="2"/>
      <c r="N735" s="2"/>
    </row>
    <row r="736">
      <c r="I736" s="2"/>
      <c r="J736" s="2"/>
      <c r="K736" s="2"/>
      <c r="N736" s="2"/>
    </row>
    <row r="737">
      <c r="I737" s="2"/>
      <c r="J737" s="2"/>
      <c r="K737" s="2"/>
      <c r="N737" s="2"/>
    </row>
    <row r="738">
      <c r="I738" s="2"/>
      <c r="J738" s="2"/>
      <c r="K738" s="2"/>
      <c r="N738" s="2"/>
    </row>
    <row r="739">
      <c r="I739" s="2"/>
      <c r="J739" s="2"/>
      <c r="K739" s="2"/>
      <c r="N739" s="2"/>
    </row>
    <row r="740">
      <c r="I740" s="2"/>
      <c r="J740" s="2"/>
      <c r="K740" s="2"/>
      <c r="N740" s="2"/>
    </row>
    <row r="741">
      <c r="I741" s="2"/>
      <c r="J741" s="2"/>
      <c r="K741" s="2"/>
      <c r="N741" s="2"/>
    </row>
    <row r="742">
      <c r="I742" s="2"/>
      <c r="J742" s="2"/>
      <c r="K742" s="2"/>
      <c r="N742" s="2"/>
    </row>
    <row r="743">
      <c r="I743" s="2"/>
      <c r="J743" s="2"/>
      <c r="K743" s="2"/>
      <c r="N743" s="2"/>
    </row>
    <row r="744">
      <c r="I744" s="2"/>
      <c r="J744" s="2"/>
      <c r="K744" s="2"/>
      <c r="N744" s="2"/>
    </row>
    <row r="745">
      <c r="I745" s="2"/>
      <c r="J745" s="2"/>
      <c r="K745" s="2"/>
      <c r="N745" s="2"/>
    </row>
    <row r="746">
      <c r="I746" s="2"/>
      <c r="J746" s="2"/>
      <c r="K746" s="2"/>
      <c r="N746" s="2"/>
    </row>
    <row r="747">
      <c r="I747" s="2"/>
      <c r="J747" s="2"/>
      <c r="K747" s="2"/>
      <c r="N747" s="2"/>
    </row>
    <row r="748">
      <c r="I748" s="2"/>
      <c r="J748" s="2"/>
      <c r="K748" s="2"/>
      <c r="N748" s="2"/>
    </row>
    <row r="749">
      <c r="I749" s="2"/>
      <c r="J749" s="2"/>
      <c r="K749" s="2"/>
      <c r="N749" s="2"/>
    </row>
    <row r="750">
      <c r="I750" s="2"/>
      <c r="J750" s="2"/>
      <c r="K750" s="2"/>
      <c r="N750" s="2"/>
    </row>
    <row r="751">
      <c r="I751" s="2"/>
      <c r="J751" s="2"/>
      <c r="K751" s="2"/>
      <c r="N751" s="2"/>
    </row>
    <row r="752">
      <c r="I752" s="2"/>
      <c r="J752" s="2"/>
      <c r="K752" s="2"/>
      <c r="N752" s="2"/>
    </row>
    <row r="753">
      <c r="I753" s="2"/>
      <c r="J753" s="2"/>
      <c r="K753" s="2"/>
      <c r="N753" s="2"/>
    </row>
    <row r="754">
      <c r="I754" s="2"/>
      <c r="J754" s="2"/>
      <c r="K754" s="2"/>
      <c r="N754" s="2"/>
    </row>
    <row r="755">
      <c r="I755" s="2"/>
      <c r="J755" s="2"/>
      <c r="K755" s="2"/>
      <c r="N755" s="2"/>
    </row>
    <row r="756">
      <c r="I756" s="2"/>
      <c r="J756" s="2"/>
      <c r="K756" s="2"/>
      <c r="N756" s="2"/>
    </row>
    <row r="757">
      <c r="I757" s="2"/>
      <c r="J757" s="2"/>
      <c r="K757" s="2"/>
      <c r="N757" s="2"/>
    </row>
    <row r="758">
      <c r="I758" s="2"/>
      <c r="J758" s="2"/>
      <c r="K758" s="2"/>
      <c r="N758" s="2"/>
    </row>
    <row r="759">
      <c r="I759" s="2"/>
      <c r="J759" s="2"/>
      <c r="K759" s="2"/>
      <c r="N759" s="2"/>
    </row>
    <row r="760">
      <c r="I760" s="2"/>
      <c r="J760" s="2"/>
      <c r="K760" s="2"/>
      <c r="N760" s="2"/>
    </row>
    <row r="761">
      <c r="I761" s="2"/>
      <c r="J761" s="2"/>
      <c r="K761" s="2"/>
      <c r="N761" s="2"/>
    </row>
    <row r="762">
      <c r="I762" s="2"/>
      <c r="J762" s="2"/>
      <c r="K762" s="2"/>
      <c r="N762" s="2"/>
    </row>
    <row r="763">
      <c r="I763" s="2"/>
      <c r="J763" s="2"/>
      <c r="K763" s="2"/>
      <c r="N763" s="2"/>
    </row>
    <row r="764">
      <c r="I764" s="2"/>
      <c r="J764" s="2"/>
      <c r="K764" s="2"/>
      <c r="N764" s="2"/>
    </row>
    <row r="765">
      <c r="I765" s="2"/>
      <c r="J765" s="2"/>
      <c r="K765" s="2"/>
      <c r="N765" s="2"/>
    </row>
    <row r="766">
      <c r="I766" s="2"/>
      <c r="J766" s="2"/>
      <c r="K766" s="2"/>
      <c r="N766" s="2"/>
    </row>
    <row r="767">
      <c r="I767" s="2"/>
      <c r="J767" s="2"/>
      <c r="K767" s="2"/>
      <c r="N767" s="2"/>
    </row>
    <row r="768">
      <c r="I768" s="2"/>
      <c r="J768" s="2"/>
      <c r="K768" s="2"/>
      <c r="N768" s="2"/>
    </row>
    <row r="769">
      <c r="I769" s="2"/>
      <c r="J769" s="2"/>
      <c r="K769" s="2"/>
      <c r="N769" s="2"/>
    </row>
    <row r="770">
      <c r="I770" s="2"/>
      <c r="J770" s="2"/>
      <c r="K770" s="2"/>
      <c r="N770" s="2"/>
    </row>
    <row r="771">
      <c r="I771" s="2"/>
      <c r="J771" s="2"/>
      <c r="K771" s="2"/>
      <c r="N771" s="2"/>
    </row>
    <row r="772">
      <c r="I772" s="2"/>
      <c r="J772" s="2"/>
      <c r="K772" s="2"/>
      <c r="N772" s="2"/>
    </row>
    <row r="773">
      <c r="I773" s="2"/>
      <c r="J773" s="2"/>
      <c r="K773" s="2"/>
      <c r="N773" s="2"/>
    </row>
    <row r="774">
      <c r="I774" s="2"/>
      <c r="J774" s="2"/>
      <c r="K774" s="2"/>
      <c r="N774" s="2"/>
    </row>
    <row r="775">
      <c r="I775" s="2"/>
      <c r="J775" s="2"/>
      <c r="K775" s="2"/>
      <c r="N775" s="2"/>
    </row>
    <row r="776">
      <c r="I776" s="2"/>
      <c r="J776" s="2"/>
      <c r="K776" s="2"/>
      <c r="N776" s="2"/>
    </row>
    <row r="777">
      <c r="I777" s="2"/>
      <c r="J777" s="2"/>
      <c r="K777" s="2"/>
      <c r="N777" s="2"/>
    </row>
    <row r="778">
      <c r="I778" s="2"/>
      <c r="J778" s="2"/>
      <c r="K778" s="2"/>
      <c r="N778" s="2"/>
    </row>
    <row r="779">
      <c r="I779" s="2"/>
      <c r="J779" s="2"/>
      <c r="K779" s="2"/>
      <c r="N779" s="2"/>
    </row>
    <row r="780">
      <c r="I780" s="2"/>
      <c r="J780" s="2"/>
      <c r="K780" s="2"/>
      <c r="N780" s="2"/>
    </row>
    <row r="781">
      <c r="I781" s="2"/>
      <c r="J781" s="2"/>
      <c r="K781" s="2"/>
      <c r="N781" s="2"/>
    </row>
    <row r="782">
      <c r="I782" s="2"/>
      <c r="J782" s="2"/>
      <c r="K782" s="2"/>
      <c r="N782" s="2"/>
    </row>
    <row r="783">
      <c r="I783" s="2"/>
      <c r="J783" s="2"/>
      <c r="K783" s="2"/>
      <c r="N783" s="2"/>
    </row>
    <row r="784">
      <c r="I784" s="2"/>
      <c r="J784" s="2"/>
      <c r="K784" s="2"/>
      <c r="N784" s="2"/>
    </row>
    <row r="785">
      <c r="I785" s="2"/>
      <c r="J785" s="2"/>
      <c r="K785" s="2"/>
      <c r="N785" s="2"/>
    </row>
    <row r="786">
      <c r="I786" s="2"/>
      <c r="J786" s="2"/>
      <c r="K786" s="2"/>
      <c r="N786" s="2"/>
    </row>
    <row r="787">
      <c r="I787" s="2"/>
      <c r="J787" s="2"/>
      <c r="K787" s="2"/>
      <c r="N787" s="2"/>
    </row>
    <row r="788">
      <c r="I788" s="2"/>
      <c r="J788" s="2"/>
      <c r="K788" s="2"/>
      <c r="N788" s="2"/>
    </row>
    <row r="789">
      <c r="I789" s="2"/>
      <c r="J789" s="2"/>
      <c r="K789" s="2"/>
      <c r="N789" s="2"/>
    </row>
    <row r="790">
      <c r="I790" s="2"/>
      <c r="J790" s="2"/>
      <c r="K790" s="2"/>
      <c r="N790" s="2"/>
    </row>
    <row r="791">
      <c r="I791" s="2"/>
      <c r="J791" s="2"/>
      <c r="K791" s="2"/>
      <c r="N791" s="2"/>
    </row>
    <row r="792">
      <c r="I792" s="2"/>
      <c r="J792" s="2"/>
      <c r="K792" s="2"/>
      <c r="N792" s="2"/>
    </row>
    <row r="793">
      <c r="I793" s="2"/>
      <c r="J793" s="2"/>
      <c r="K793" s="2"/>
      <c r="N793" s="2"/>
    </row>
    <row r="794">
      <c r="I794" s="2"/>
      <c r="J794" s="2"/>
      <c r="K794" s="2"/>
      <c r="N794" s="2"/>
    </row>
    <row r="795">
      <c r="I795" s="2"/>
      <c r="J795" s="2"/>
      <c r="K795" s="2"/>
      <c r="N795" s="2"/>
    </row>
    <row r="796">
      <c r="I796" s="2"/>
      <c r="J796" s="2"/>
      <c r="K796" s="2"/>
      <c r="N796" s="2"/>
    </row>
    <row r="797">
      <c r="I797" s="2"/>
      <c r="J797" s="2"/>
      <c r="K797" s="2"/>
      <c r="N797" s="2"/>
    </row>
    <row r="798">
      <c r="I798" s="2"/>
      <c r="J798" s="2"/>
      <c r="K798" s="2"/>
      <c r="N798" s="2"/>
    </row>
    <row r="799">
      <c r="I799" s="2"/>
      <c r="J799" s="2"/>
      <c r="K799" s="2"/>
      <c r="N799" s="2"/>
    </row>
    <row r="800">
      <c r="I800" s="2"/>
      <c r="J800" s="2"/>
      <c r="K800" s="2"/>
      <c r="N800" s="2"/>
    </row>
    <row r="801">
      <c r="I801" s="2"/>
      <c r="J801" s="2"/>
      <c r="K801" s="2"/>
      <c r="N801" s="2"/>
    </row>
    <row r="802">
      <c r="I802" s="2"/>
      <c r="J802" s="2"/>
      <c r="K802" s="2"/>
      <c r="N802" s="2"/>
    </row>
    <row r="803">
      <c r="I803" s="2"/>
      <c r="J803" s="2"/>
      <c r="K803" s="2"/>
      <c r="N803" s="2"/>
    </row>
    <row r="804">
      <c r="I804" s="2"/>
      <c r="J804" s="2"/>
      <c r="K804" s="2"/>
      <c r="N804" s="2"/>
    </row>
    <row r="805">
      <c r="I805" s="2"/>
      <c r="J805" s="2"/>
      <c r="K805" s="2"/>
      <c r="N805" s="2"/>
    </row>
    <row r="806">
      <c r="I806" s="2"/>
      <c r="J806" s="2"/>
      <c r="K806" s="2"/>
      <c r="N806" s="2"/>
    </row>
    <row r="807">
      <c r="I807" s="2"/>
      <c r="J807" s="2"/>
      <c r="K807" s="2"/>
      <c r="N807" s="2"/>
    </row>
    <row r="808">
      <c r="I808" s="2"/>
      <c r="J808" s="2"/>
      <c r="K808" s="2"/>
      <c r="N808" s="2"/>
    </row>
    <row r="809">
      <c r="I809" s="2"/>
      <c r="J809" s="2"/>
      <c r="K809" s="2"/>
      <c r="N809" s="2"/>
    </row>
    <row r="810">
      <c r="I810" s="2"/>
      <c r="J810" s="2"/>
      <c r="K810" s="2"/>
      <c r="N810" s="2"/>
    </row>
    <row r="811">
      <c r="I811" s="2"/>
      <c r="J811" s="2"/>
      <c r="K811" s="2"/>
      <c r="N811" s="2"/>
    </row>
    <row r="812">
      <c r="I812" s="2"/>
      <c r="J812" s="2"/>
      <c r="K812" s="2"/>
      <c r="N812" s="2"/>
    </row>
    <row r="813">
      <c r="I813" s="2"/>
      <c r="J813" s="2"/>
      <c r="K813" s="2"/>
      <c r="N813" s="2"/>
    </row>
    <row r="814">
      <c r="I814" s="2"/>
      <c r="J814" s="2"/>
      <c r="K814" s="2"/>
      <c r="N814" s="2"/>
    </row>
    <row r="815">
      <c r="I815" s="2"/>
      <c r="J815" s="2"/>
      <c r="K815" s="2"/>
      <c r="N815" s="2"/>
    </row>
    <row r="816">
      <c r="I816" s="2"/>
      <c r="J816" s="2"/>
      <c r="K816" s="2"/>
      <c r="N816" s="2"/>
    </row>
    <row r="817">
      <c r="I817" s="2"/>
      <c r="J817" s="2"/>
      <c r="K817" s="2"/>
      <c r="N817" s="2"/>
    </row>
    <row r="818">
      <c r="I818" s="2"/>
      <c r="J818" s="2"/>
      <c r="K818" s="2"/>
      <c r="N818" s="2"/>
    </row>
    <row r="819">
      <c r="I819" s="2"/>
      <c r="J819" s="2"/>
      <c r="K819" s="2"/>
      <c r="N819" s="2"/>
    </row>
    <row r="820">
      <c r="I820" s="2"/>
      <c r="J820" s="2"/>
      <c r="K820" s="2"/>
      <c r="N820" s="2"/>
    </row>
    <row r="821">
      <c r="I821" s="2"/>
      <c r="J821" s="2"/>
      <c r="K821" s="2"/>
      <c r="N821" s="2"/>
    </row>
    <row r="822">
      <c r="I822" s="2"/>
      <c r="J822" s="2"/>
      <c r="K822" s="2"/>
      <c r="N822" s="2"/>
    </row>
    <row r="823">
      <c r="I823" s="2"/>
      <c r="J823" s="2"/>
      <c r="K823" s="2"/>
      <c r="N823" s="2"/>
    </row>
    <row r="824">
      <c r="I824" s="2"/>
      <c r="J824" s="2"/>
      <c r="K824" s="2"/>
      <c r="N824" s="2"/>
    </row>
    <row r="825">
      <c r="I825" s="2"/>
      <c r="J825" s="2"/>
      <c r="K825" s="2"/>
      <c r="N825" s="2"/>
    </row>
    <row r="826">
      <c r="I826" s="2"/>
      <c r="J826" s="2"/>
      <c r="K826" s="2"/>
      <c r="N826" s="2"/>
    </row>
    <row r="827">
      <c r="I827" s="2"/>
      <c r="J827" s="2"/>
      <c r="K827" s="2"/>
      <c r="N827" s="2"/>
    </row>
    <row r="828">
      <c r="I828" s="2"/>
      <c r="J828" s="2"/>
      <c r="K828" s="2"/>
      <c r="N828" s="2"/>
    </row>
    <row r="829">
      <c r="I829" s="2"/>
      <c r="J829" s="2"/>
      <c r="K829" s="2"/>
      <c r="N829" s="2"/>
    </row>
    <row r="830">
      <c r="I830" s="2"/>
      <c r="J830" s="2"/>
      <c r="K830" s="2"/>
      <c r="N830" s="2"/>
    </row>
    <row r="831">
      <c r="I831" s="2"/>
      <c r="J831" s="2"/>
      <c r="K831" s="2"/>
      <c r="N831" s="2"/>
    </row>
    <row r="832">
      <c r="I832" s="2"/>
      <c r="J832" s="2"/>
      <c r="K832" s="2"/>
      <c r="N832" s="2"/>
    </row>
    <row r="833">
      <c r="I833" s="2"/>
      <c r="J833" s="2"/>
      <c r="K833" s="2"/>
      <c r="N833" s="2"/>
    </row>
    <row r="834">
      <c r="I834" s="2"/>
      <c r="J834" s="2"/>
      <c r="K834" s="2"/>
      <c r="N834" s="2"/>
    </row>
    <row r="835">
      <c r="I835" s="2"/>
      <c r="J835" s="2"/>
      <c r="K835" s="2"/>
      <c r="N835" s="2"/>
    </row>
    <row r="836">
      <c r="I836" s="2"/>
      <c r="J836" s="2"/>
      <c r="K836" s="2"/>
      <c r="N836" s="2"/>
    </row>
    <row r="837">
      <c r="I837" s="2"/>
      <c r="J837" s="2"/>
      <c r="K837" s="2"/>
      <c r="N837" s="2"/>
    </row>
    <row r="838">
      <c r="I838" s="2"/>
      <c r="J838" s="2"/>
      <c r="K838" s="2"/>
      <c r="N838" s="2"/>
    </row>
    <row r="839">
      <c r="I839" s="2"/>
      <c r="J839" s="2"/>
      <c r="K839" s="2"/>
      <c r="N839" s="2"/>
    </row>
    <row r="840">
      <c r="I840" s="2"/>
      <c r="J840" s="2"/>
      <c r="K840" s="2"/>
      <c r="N840" s="2"/>
    </row>
    <row r="841">
      <c r="I841" s="2"/>
      <c r="J841" s="2"/>
      <c r="K841" s="2"/>
      <c r="N841" s="2"/>
    </row>
    <row r="842">
      <c r="I842" s="2"/>
      <c r="J842" s="2"/>
      <c r="K842" s="2"/>
      <c r="N842" s="2"/>
    </row>
    <row r="843">
      <c r="I843" s="2"/>
      <c r="J843" s="2"/>
      <c r="K843" s="2"/>
      <c r="N843" s="2"/>
    </row>
    <row r="844">
      <c r="I844" s="2"/>
      <c r="J844" s="2"/>
      <c r="K844" s="2"/>
      <c r="N844" s="2"/>
    </row>
    <row r="845">
      <c r="I845" s="2"/>
      <c r="J845" s="2"/>
      <c r="K845" s="2"/>
      <c r="N845" s="2"/>
    </row>
    <row r="846">
      <c r="I846" s="2"/>
      <c r="J846" s="2"/>
      <c r="K846" s="2"/>
      <c r="N846" s="2"/>
    </row>
    <row r="847">
      <c r="I847" s="2"/>
      <c r="J847" s="2"/>
      <c r="K847" s="2"/>
      <c r="N847" s="2"/>
    </row>
    <row r="848">
      <c r="I848" s="2"/>
      <c r="J848" s="2"/>
      <c r="K848" s="2"/>
      <c r="N848" s="2"/>
    </row>
    <row r="849">
      <c r="I849" s="2"/>
      <c r="J849" s="2"/>
      <c r="K849" s="2"/>
      <c r="N849" s="2"/>
    </row>
    <row r="850">
      <c r="I850" s="2"/>
      <c r="J850" s="2"/>
      <c r="K850" s="2"/>
      <c r="N850" s="2"/>
    </row>
    <row r="851">
      <c r="I851" s="2"/>
      <c r="J851" s="2"/>
      <c r="K851" s="2"/>
      <c r="N851" s="2"/>
    </row>
    <row r="852">
      <c r="I852" s="2"/>
      <c r="J852" s="2"/>
      <c r="K852" s="2"/>
      <c r="N852" s="2"/>
    </row>
    <row r="853">
      <c r="I853" s="2"/>
      <c r="J853" s="2"/>
      <c r="K853" s="2"/>
      <c r="N853" s="2"/>
    </row>
    <row r="854">
      <c r="I854" s="2"/>
      <c r="J854" s="2"/>
      <c r="K854" s="2"/>
      <c r="N854" s="2"/>
    </row>
    <row r="855">
      <c r="I855" s="2"/>
      <c r="J855" s="2"/>
      <c r="K855" s="2"/>
      <c r="N855" s="2"/>
    </row>
    <row r="856">
      <c r="I856" s="2"/>
      <c r="J856" s="2"/>
      <c r="K856" s="2"/>
      <c r="N856" s="2"/>
    </row>
    <row r="857">
      <c r="I857" s="2"/>
      <c r="J857" s="2"/>
      <c r="K857" s="2"/>
      <c r="N857" s="2"/>
    </row>
    <row r="858">
      <c r="I858" s="2"/>
      <c r="J858" s="2"/>
      <c r="K858" s="2"/>
      <c r="N858" s="2"/>
    </row>
    <row r="859">
      <c r="I859" s="2"/>
      <c r="J859" s="2"/>
      <c r="K859" s="2"/>
      <c r="N859" s="2"/>
    </row>
    <row r="860">
      <c r="I860" s="2"/>
      <c r="J860" s="2"/>
      <c r="K860" s="2"/>
      <c r="N860" s="2"/>
    </row>
    <row r="861">
      <c r="I861" s="2"/>
      <c r="J861" s="2"/>
      <c r="K861" s="2"/>
      <c r="N861" s="2"/>
    </row>
    <row r="862">
      <c r="I862" s="2"/>
      <c r="J862" s="2"/>
      <c r="K862" s="2"/>
      <c r="N862" s="2"/>
    </row>
    <row r="863">
      <c r="I863" s="2"/>
      <c r="J863" s="2"/>
      <c r="K863" s="2"/>
      <c r="N863" s="2"/>
    </row>
    <row r="864">
      <c r="I864" s="2"/>
      <c r="J864" s="2"/>
      <c r="K864" s="2"/>
      <c r="N864" s="2"/>
    </row>
    <row r="865">
      <c r="I865" s="2"/>
      <c r="J865" s="2"/>
      <c r="K865" s="2"/>
      <c r="N865" s="2"/>
    </row>
    <row r="866">
      <c r="I866" s="2"/>
      <c r="J866" s="2"/>
      <c r="K866" s="2"/>
      <c r="N866" s="2"/>
    </row>
    <row r="867">
      <c r="I867" s="2"/>
      <c r="J867" s="2"/>
      <c r="K867" s="2"/>
      <c r="N867" s="2"/>
    </row>
    <row r="868">
      <c r="I868" s="2"/>
      <c r="J868" s="2"/>
      <c r="K868" s="2"/>
      <c r="N868" s="2"/>
    </row>
    <row r="869">
      <c r="I869" s="2"/>
      <c r="J869" s="2"/>
      <c r="K869" s="2"/>
      <c r="N869" s="2"/>
    </row>
    <row r="870">
      <c r="I870" s="2"/>
      <c r="J870" s="2"/>
      <c r="K870" s="2"/>
      <c r="N870" s="2"/>
    </row>
    <row r="871">
      <c r="I871" s="2"/>
      <c r="J871" s="2"/>
      <c r="K871" s="2"/>
      <c r="N871" s="2"/>
    </row>
    <row r="872">
      <c r="I872" s="2"/>
      <c r="J872" s="2"/>
      <c r="K872" s="2"/>
      <c r="N872" s="2"/>
    </row>
    <row r="873">
      <c r="I873" s="2"/>
      <c r="J873" s="2"/>
      <c r="K873" s="2"/>
      <c r="N873" s="2"/>
    </row>
    <row r="874">
      <c r="I874" s="2"/>
      <c r="J874" s="2"/>
      <c r="K874" s="2"/>
      <c r="N874" s="2"/>
    </row>
    <row r="875">
      <c r="I875" s="2"/>
      <c r="J875" s="2"/>
      <c r="K875" s="2"/>
      <c r="N875" s="2"/>
    </row>
    <row r="876">
      <c r="I876" s="2"/>
      <c r="J876" s="2"/>
      <c r="K876" s="2"/>
      <c r="N876" s="2"/>
    </row>
    <row r="877">
      <c r="I877" s="2"/>
      <c r="J877" s="2"/>
      <c r="K877" s="2"/>
      <c r="N877" s="2"/>
    </row>
    <row r="878">
      <c r="I878" s="2"/>
      <c r="J878" s="2"/>
      <c r="K878" s="2"/>
      <c r="N878" s="2"/>
    </row>
    <row r="879">
      <c r="I879" s="2"/>
      <c r="J879" s="2"/>
      <c r="K879" s="2"/>
      <c r="N879" s="2"/>
    </row>
    <row r="880">
      <c r="I880" s="2"/>
      <c r="J880" s="2"/>
      <c r="K880" s="2"/>
      <c r="N880" s="2"/>
    </row>
    <row r="881">
      <c r="I881" s="2"/>
      <c r="J881" s="2"/>
      <c r="K881" s="2"/>
      <c r="N881" s="2"/>
    </row>
    <row r="882">
      <c r="I882" s="2"/>
      <c r="J882" s="2"/>
      <c r="K882" s="2"/>
      <c r="N882" s="2"/>
    </row>
    <row r="883">
      <c r="I883" s="2"/>
      <c r="J883" s="2"/>
      <c r="K883" s="2"/>
      <c r="N883" s="2"/>
    </row>
    <row r="884">
      <c r="I884" s="2"/>
      <c r="J884" s="2"/>
      <c r="K884" s="2"/>
      <c r="N884" s="2"/>
    </row>
    <row r="885">
      <c r="I885" s="2"/>
      <c r="J885" s="2"/>
      <c r="K885" s="2"/>
      <c r="N885" s="2"/>
    </row>
    <row r="886">
      <c r="I886" s="2"/>
      <c r="J886" s="2"/>
      <c r="K886" s="2"/>
      <c r="N886" s="2"/>
    </row>
    <row r="887">
      <c r="I887" s="2"/>
      <c r="J887" s="2"/>
      <c r="K887" s="2"/>
      <c r="N887" s="2"/>
    </row>
    <row r="888">
      <c r="I888" s="2"/>
      <c r="J888" s="2"/>
      <c r="K888" s="2"/>
      <c r="N888" s="2"/>
    </row>
    <row r="889">
      <c r="I889" s="2"/>
      <c r="J889" s="2"/>
      <c r="K889" s="2"/>
      <c r="N889" s="2"/>
    </row>
    <row r="890">
      <c r="I890" s="2"/>
      <c r="J890" s="2"/>
      <c r="K890" s="2"/>
      <c r="N890" s="2"/>
    </row>
    <row r="891">
      <c r="I891" s="2"/>
      <c r="J891" s="2"/>
      <c r="K891" s="2"/>
      <c r="N891" s="2"/>
    </row>
    <row r="892">
      <c r="I892" s="2"/>
      <c r="J892" s="2"/>
      <c r="K892" s="2"/>
      <c r="N892" s="2"/>
    </row>
    <row r="893">
      <c r="I893" s="2"/>
      <c r="J893" s="2"/>
      <c r="K893" s="2"/>
      <c r="N893" s="2"/>
    </row>
    <row r="894">
      <c r="I894" s="2"/>
      <c r="J894" s="2"/>
      <c r="K894" s="2"/>
      <c r="N894" s="2"/>
    </row>
    <row r="895">
      <c r="I895" s="2"/>
      <c r="J895" s="2"/>
      <c r="K895" s="2"/>
      <c r="N895" s="2"/>
    </row>
    <row r="896">
      <c r="I896" s="2"/>
      <c r="J896" s="2"/>
      <c r="K896" s="2"/>
      <c r="N896" s="2"/>
    </row>
    <row r="897">
      <c r="I897" s="2"/>
      <c r="J897" s="2"/>
      <c r="K897" s="2"/>
      <c r="N897" s="2"/>
    </row>
    <row r="898">
      <c r="I898" s="2"/>
      <c r="J898" s="2"/>
      <c r="K898" s="2"/>
      <c r="N898" s="2"/>
    </row>
    <row r="899">
      <c r="I899" s="2"/>
      <c r="J899" s="2"/>
      <c r="K899" s="2"/>
      <c r="N899" s="2"/>
    </row>
    <row r="900">
      <c r="I900" s="2"/>
      <c r="J900" s="2"/>
      <c r="K900" s="2"/>
      <c r="N900" s="2"/>
    </row>
    <row r="901">
      <c r="I901" s="2"/>
      <c r="J901" s="2"/>
      <c r="K901" s="2"/>
      <c r="N901" s="2"/>
    </row>
    <row r="902">
      <c r="I902" s="2"/>
      <c r="J902" s="2"/>
      <c r="K902" s="2"/>
      <c r="N902" s="2"/>
    </row>
    <row r="903">
      <c r="I903" s="2"/>
      <c r="J903" s="2"/>
      <c r="K903" s="2"/>
      <c r="N903" s="2"/>
    </row>
    <row r="904">
      <c r="I904" s="2"/>
      <c r="J904" s="2"/>
      <c r="K904" s="2"/>
      <c r="N904" s="2"/>
    </row>
    <row r="905">
      <c r="I905" s="2"/>
      <c r="J905" s="2"/>
      <c r="K905" s="2"/>
      <c r="N905" s="2"/>
    </row>
    <row r="906">
      <c r="I906" s="2"/>
      <c r="J906" s="2"/>
      <c r="K906" s="2"/>
      <c r="N906" s="2"/>
    </row>
    <row r="907">
      <c r="I907" s="2"/>
      <c r="J907" s="2"/>
      <c r="K907" s="2"/>
      <c r="N907" s="2"/>
    </row>
    <row r="908">
      <c r="I908" s="2"/>
      <c r="J908" s="2"/>
      <c r="K908" s="2"/>
      <c r="N908" s="2"/>
    </row>
    <row r="909">
      <c r="I909" s="2"/>
      <c r="J909" s="2"/>
      <c r="K909" s="2"/>
      <c r="N909" s="2"/>
    </row>
    <row r="910">
      <c r="I910" s="2"/>
      <c r="J910" s="2"/>
      <c r="K910" s="2"/>
      <c r="N910" s="2"/>
    </row>
    <row r="911">
      <c r="I911" s="2"/>
      <c r="J911" s="2"/>
      <c r="K911" s="2"/>
      <c r="N911" s="2"/>
    </row>
    <row r="912">
      <c r="I912" s="2"/>
      <c r="J912" s="2"/>
      <c r="K912" s="2"/>
      <c r="N912" s="2"/>
    </row>
    <row r="913">
      <c r="I913" s="2"/>
      <c r="J913" s="2"/>
      <c r="K913" s="2"/>
      <c r="N913" s="2"/>
    </row>
    <row r="914">
      <c r="I914" s="2"/>
      <c r="J914" s="2"/>
      <c r="K914" s="2"/>
      <c r="N914" s="2"/>
    </row>
    <row r="915">
      <c r="I915" s="2"/>
      <c r="J915" s="2"/>
      <c r="K915" s="2"/>
      <c r="N915" s="2"/>
    </row>
    <row r="916">
      <c r="I916" s="2"/>
      <c r="J916" s="2"/>
      <c r="K916" s="2"/>
      <c r="N916" s="2"/>
    </row>
    <row r="917">
      <c r="I917" s="2"/>
      <c r="J917" s="2"/>
      <c r="K917" s="2"/>
      <c r="N917" s="2"/>
    </row>
    <row r="918">
      <c r="I918" s="2"/>
      <c r="J918" s="2"/>
      <c r="K918" s="2"/>
      <c r="N918" s="2"/>
    </row>
    <row r="919">
      <c r="I919" s="2"/>
      <c r="J919" s="2"/>
      <c r="K919" s="2"/>
      <c r="N919" s="2"/>
    </row>
    <row r="920">
      <c r="I920" s="2"/>
      <c r="J920" s="2"/>
      <c r="K920" s="2"/>
      <c r="N920" s="2"/>
    </row>
    <row r="921">
      <c r="I921" s="2"/>
      <c r="J921" s="2"/>
      <c r="K921" s="2"/>
      <c r="N921" s="2"/>
    </row>
    <row r="922">
      <c r="I922" s="2"/>
      <c r="J922" s="2"/>
      <c r="K922" s="2"/>
      <c r="N922" s="2"/>
    </row>
    <row r="923">
      <c r="I923" s="2"/>
      <c r="J923" s="2"/>
      <c r="K923" s="2"/>
      <c r="N923" s="2"/>
    </row>
    <row r="924">
      <c r="I924" s="2"/>
      <c r="J924" s="2"/>
      <c r="K924" s="2"/>
      <c r="N924" s="2"/>
    </row>
    <row r="925">
      <c r="I925" s="2"/>
      <c r="J925" s="2"/>
      <c r="K925" s="2"/>
      <c r="N925" s="2"/>
    </row>
    <row r="926">
      <c r="I926" s="2"/>
      <c r="J926" s="2"/>
      <c r="K926" s="2"/>
      <c r="N926" s="2"/>
    </row>
    <row r="927">
      <c r="I927" s="2"/>
      <c r="J927" s="2"/>
      <c r="K927" s="2"/>
      <c r="N927" s="2"/>
    </row>
    <row r="928">
      <c r="I928" s="2"/>
      <c r="J928" s="2"/>
      <c r="K928" s="2"/>
      <c r="N928" s="2"/>
    </row>
    <row r="929">
      <c r="I929" s="2"/>
      <c r="J929" s="2"/>
      <c r="K929" s="2"/>
      <c r="N929" s="2"/>
    </row>
    <row r="930">
      <c r="I930" s="2"/>
      <c r="J930" s="2"/>
      <c r="K930" s="2"/>
      <c r="N930" s="2"/>
    </row>
    <row r="931">
      <c r="I931" s="2"/>
      <c r="J931" s="2"/>
      <c r="K931" s="2"/>
      <c r="N931" s="2"/>
    </row>
    <row r="932">
      <c r="I932" s="2"/>
      <c r="J932" s="2"/>
      <c r="K932" s="2"/>
      <c r="N932" s="2"/>
    </row>
    <row r="933">
      <c r="I933" s="2"/>
      <c r="J933" s="2"/>
      <c r="K933" s="2"/>
      <c r="N933" s="2"/>
    </row>
    <row r="934">
      <c r="I934" s="2"/>
      <c r="J934" s="2"/>
      <c r="K934" s="2"/>
      <c r="N934" s="2"/>
    </row>
    <row r="935">
      <c r="I935" s="2"/>
      <c r="J935" s="2"/>
      <c r="K935" s="2"/>
      <c r="N935" s="2"/>
    </row>
    <row r="936">
      <c r="I936" s="2"/>
      <c r="J936" s="2"/>
      <c r="K936" s="2"/>
      <c r="N936" s="2"/>
    </row>
    <row r="937">
      <c r="I937" s="2"/>
      <c r="J937" s="2"/>
      <c r="K937" s="2"/>
      <c r="N937" s="2"/>
    </row>
    <row r="938">
      <c r="I938" s="2"/>
      <c r="J938" s="2"/>
      <c r="K938" s="2"/>
      <c r="N938" s="2"/>
    </row>
    <row r="939">
      <c r="I939" s="2"/>
      <c r="J939" s="2"/>
      <c r="K939" s="2"/>
      <c r="N939" s="2"/>
    </row>
    <row r="940">
      <c r="I940" s="2"/>
      <c r="J940" s="2"/>
      <c r="K940" s="2"/>
      <c r="N940" s="2"/>
    </row>
    <row r="941">
      <c r="I941" s="2"/>
      <c r="J941" s="2"/>
      <c r="K941" s="2"/>
      <c r="N941" s="2"/>
    </row>
    <row r="942">
      <c r="I942" s="2"/>
      <c r="J942" s="2"/>
      <c r="K942" s="2"/>
      <c r="N942" s="2"/>
    </row>
    <row r="943">
      <c r="I943" s="2"/>
      <c r="J943" s="2"/>
      <c r="K943" s="2"/>
      <c r="N943" s="2"/>
    </row>
    <row r="944">
      <c r="I944" s="2"/>
      <c r="J944" s="2"/>
      <c r="K944" s="2"/>
      <c r="N944" s="2"/>
    </row>
    <row r="945">
      <c r="I945" s="2"/>
      <c r="J945" s="2"/>
      <c r="K945" s="2"/>
      <c r="N945" s="2"/>
    </row>
    <row r="946">
      <c r="I946" s="2"/>
      <c r="J946" s="2"/>
      <c r="K946" s="2"/>
      <c r="N946" s="2"/>
    </row>
    <row r="947">
      <c r="I947" s="2"/>
      <c r="J947" s="2"/>
      <c r="K947" s="2"/>
      <c r="N947" s="2"/>
    </row>
    <row r="948">
      <c r="I948" s="2"/>
      <c r="J948" s="2"/>
      <c r="K948" s="2"/>
      <c r="N948" s="2"/>
    </row>
    <row r="949">
      <c r="I949" s="2"/>
      <c r="J949" s="2"/>
      <c r="K949" s="2"/>
      <c r="N949" s="2"/>
    </row>
    <row r="950">
      <c r="I950" s="2"/>
      <c r="J950" s="2"/>
      <c r="K950" s="2"/>
      <c r="N950" s="2"/>
    </row>
    <row r="951">
      <c r="I951" s="2"/>
      <c r="J951" s="2"/>
      <c r="K951" s="2"/>
      <c r="N951" s="2"/>
    </row>
    <row r="952">
      <c r="I952" s="2"/>
      <c r="J952" s="2"/>
      <c r="K952" s="2"/>
      <c r="N952" s="2"/>
    </row>
    <row r="953">
      <c r="I953" s="2"/>
      <c r="J953" s="2"/>
      <c r="K953" s="2"/>
      <c r="N953" s="2"/>
    </row>
    <row r="954">
      <c r="I954" s="2"/>
      <c r="J954" s="2"/>
      <c r="K954" s="2"/>
      <c r="N954" s="2"/>
    </row>
    <row r="955">
      <c r="I955" s="2"/>
      <c r="J955" s="2"/>
      <c r="K955" s="2"/>
      <c r="N955" s="2"/>
    </row>
    <row r="956">
      <c r="I956" s="2"/>
      <c r="J956" s="2"/>
      <c r="K956" s="2"/>
      <c r="N956" s="2"/>
    </row>
    <row r="957">
      <c r="I957" s="2"/>
      <c r="J957" s="2"/>
      <c r="K957" s="2"/>
      <c r="N957" s="2"/>
    </row>
    <row r="958">
      <c r="I958" s="2"/>
      <c r="J958" s="2"/>
      <c r="K958" s="2"/>
      <c r="N958" s="2"/>
    </row>
    <row r="959">
      <c r="I959" s="2"/>
      <c r="J959" s="2"/>
      <c r="K959" s="2"/>
      <c r="N959" s="2"/>
    </row>
    <row r="960">
      <c r="I960" s="2"/>
      <c r="J960" s="2"/>
      <c r="K960" s="2"/>
      <c r="N960" s="2"/>
    </row>
    <row r="961">
      <c r="I961" s="2"/>
      <c r="J961" s="2"/>
      <c r="K961" s="2"/>
      <c r="N961" s="2"/>
    </row>
    <row r="962">
      <c r="I962" s="2"/>
      <c r="J962" s="2"/>
      <c r="K962" s="2"/>
      <c r="N962" s="2"/>
    </row>
    <row r="963">
      <c r="I963" s="2"/>
      <c r="J963" s="2"/>
      <c r="K963" s="2"/>
      <c r="N963" s="2"/>
    </row>
    <row r="964">
      <c r="I964" s="2"/>
      <c r="J964" s="2"/>
      <c r="K964" s="2"/>
      <c r="N964" s="2"/>
    </row>
    <row r="965">
      <c r="I965" s="2"/>
      <c r="J965" s="2"/>
      <c r="K965" s="2"/>
      <c r="N965" s="2"/>
    </row>
    <row r="966">
      <c r="I966" s="2"/>
      <c r="J966" s="2"/>
      <c r="K966" s="2"/>
      <c r="N966" s="2"/>
    </row>
    <row r="967">
      <c r="I967" s="2"/>
      <c r="J967" s="2"/>
      <c r="K967" s="2"/>
      <c r="N967" s="2"/>
    </row>
    <row r="968">
      <c r="I968" s="2"/>
      <c r="J968" s="2"/>
      <c r="K968" s="2"/>
      <c r="N968" s="2"/>
    </row>
    <row r="969">
      <c r="I969" s="2"/>
      <c r="J969" s="2"/>
      <c r="K969" s="2"/>
      <c r="N969" s="2"/>
    </row>
    <row r="970">
      <c r="I970" s="2"/>
      <c r="J970" s="2"/>
      <c r="K970" s="2"/>
      <c r="N970" s="2"/>
    </row>
    <row r="971">
      <c r="I971" s="2"/>
      <c r="J971" s="2"/>
      <c r="K971" s="2"/>
      <c r="N971" s="2"/>
    </row>
    <row r="972">
      <c r="I972" s="2"/>
      <c r="J972" s="2"/>
      <c r="K972" s="2"/>
      <c r="N972" s="2"/>
    </row>
    <row r="973">
      <c r="I973" s="2"/>
      <c r="J973" s="2"/>
      <c r="K973" s="2"/>
      <c r="N973" s="2"/>
    </row>
    <row r="974">
      <c r="I974" s="2"/>
      <c r="J974" s="2"/>
      <c r="K974" s="2"/>
      <c r="N974" s="2"/>
    </row>
    <row r="975">
      <c r="I975" s="2"/>
      <c r="J975" s="2"/>
      <c r="K975" s="2"/>
      <c r="N975" s="2"/>
    </row>
    <row r="976">
      <c r="I976" s="2"/>
      <c r="J976" s="2"/>
      <c r="K976" s="2"/>
      <c r="N976" s="2"/>
    </row>
    <row r="977">
      <c r="I977" s="2"/>
      <c r="J977" s="2"/>
      <c r="K977" s="2"/>
      <c r="N977" s="2"/>
    </row>
    <row r="978">
      <c r="I978" s="2"/>
      <c r="J978" s="2"/>
      <c r="K978" s="2"/>
      <c r="N978" s="2"/>
    </row>
    <row r="979">
      <c r="I979" s="2"/>
      <c r="J979" s="2"/>
      <c r="K979" s="2"/>
      <c r="N979" s="2"/>
    </row>
    <row r="980">
      <c r="I980" s="2"/>
      <c r="J980" s="2"/>
      <c r="K980" s="2"/>
      <c r="N980" s="2"/>
    </row>
    <row r="981">
      <c r="I981" s="2"/>
      <c r="J981" s="2"/>
      <c r="K981" s="2"/>
      <c r="N981" s="2"/>
    </row>
    <row r="982">
      <c r="I982" s="2"/>
      <c r="J982" s="2"/>
      <c r="K982" s="2"/>
      <c r="N982" s="2"/>
    </row>
    <row r="983">
      <c r="I983" s="2"/>
      <c r="J983" s="2"/>
      <c r="K983" s="2"/>
      <c r="N983" s="2"/>
    </row>
    <row r="984">
      <c r="I984" s="2"/>
      <c r="J984" s="2"/>
      <c r="K984" s="2"/>
      <c r="N984" s="2"/>
    </row>
    <row r="985">
      <c r="I985" s="2"/>
      <c r="J985" s="2"/>
      <c r="K985" s="2"/>
      <c r="N985" s="2"/>
    </row>
    <row r="986">
      <c r="I986" s="2"/>
      <c r="J986" s="2"/>
      <c r="K986" s="2"/>
      <c r="N986" s="2"/>
    </row>
    <row r="987">
      <c r="I987" s="2"/>
      <c r="J987" s="2"/>
      <c r="K987" s="2"/>
      <c r="N987" s="2"/>
    </row>
    <row r="988">
      <c r="I988" s="2"/>
      <c r="J988" s="2"/>
      <c r="K988" s="2"/>
      <c r="N988" s="2"/>
    </row>
    <row r="989">
      <c r="I989" s="2"/>
      <c r="J989" s="2"/>
      <c r="K989" s="2"/>
      <c r="N989" s="2"/>
    </row>
    <row r="990">
      <c r="I990" s="2"/>
      <c r="J990" s="2"/>
      <c r="K990" s="2"/>
      <c r="N990" s="2"/>
    </row>
    <row r="991">
      <c r="I991" s="2"/>
      <c r="J991" s="2"/>
      <c r="K991" s="2"/>
      <c r="N991" s="2"/>
    </row>
    <row r="992">
      <c r="I992" s="2"/>
      <c r="J992" s="2"/>
      <c r="K992" s="2"/>
      <c r="N992" s="2"/>
    </row>
    <row r="993">
      <c r="I993" s="2"/>
      <c r="J993" s="2"/>
      <c r="K993" s="2"/>
      <c r="N993" s="2"/>
    </row>
    <row r="994">
      <c r="I994" s="2"/>
      <c r="J994" s="2"/>
      <c r="K994" s="2"/>
      <c r="N994" s="2"/>
    </row>
    <row r="995">
      <c r="I995" s="2"/>
      <c r="J995" s="2"/>
      <c r="K995" s="2"/>
      <c r="N995" s="2"/>
    </row>
    <row r="996">
      <c r="I996" s="2"/>
      <c r="J996" s="2"/>
      <c r="K996" s="2"/>
      <c r="N996" s="2"/>
    </row>
    <row r="997">
      <c r="I997" s="2"/>
      <c r="J997" s="2"/>
      <c r="K997" s="2"/>
      <c r="N997" s="2"/>
    </row>
    <row r="998">
      <c r="I998" s="2"/>
      <c r="J998" s="2"/>
      <c r="K998" s="2"/>
      <c r="N998" s="2"/>
    </row>
    <row r="999">
      <c r="I999" s="2"/>
      <c r="J999" s="2"/>
      <c r="K999" s="2"/>
      <c r="N999" s="2"/>
    </row>
    <row r="1000">
      <c r="I1000" s="2"/>
      <c r="J1000" s="2"/>
      <c r="K1000" s="2"/>
      <c r="N1000" s="2"/>
    </row>
    <row r="1001">
      <c r="I1001" s="2"/>
      <c r="J1001" s="2"/>
      <c r="K1001" s="2"/>
      <c r="N1001" s="2"/>
    </row>
    <row r="1002">
      <c r="I1002" s="2"/>
      <c r="J1002" s="2"/>
      <c r="K1002" s="2"/>
      <c r="N1002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</cols>
  <sheetData>
    <row r="1">
      <c r="A1" s="1" t="s">
        <v>0</v>
      </c>
      <c r="B1" s="1" t="s">
        <v>1</v>
      </c>
      <c r="I1" s="2"/>
      <c r="J1" s="2"/>
      <c r="K1" s="2"/>
      <c r="N1" s="2"/>
    </row>
    <row r="2">
      <c r="C2" s="1" t="s">
        <v>2</v>
      </c>
      <c r="D2" s="1" t="s">
        <v>3</v>
      </c>
      <c r="E2" s="1" t="s">
        <v>13</v>
      </c>
      <c r="F2" s="1" t="s">
        <v>4</v>
      </c>
      <c r="G2" s="1" t="s">
        <v>5</v>
      </c>
      <c r="H2" s="1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1" t="s">
        <v>11</v>
      </c>
      <c r="N2" s="3" t="s">
        <v>12</v>
      </c>
      <c r="O2" s="1" t="s">
        <v>13</v>
      </c>
    </row>
    <row r="3">
      <c r="B3" s="1" t="s">
        <v>14</v>
      </c>
      <c r="C3" s="1">
        <v>5.442</v>
      </c>
      <c r="D3" s="1">
        <v>8.346</v>
      </c>
      <c r="E3" s="4">
        <f t="shared" ref="E3:E6" si="1">AVERAGE(C3,D3)</f>
        <v>6.894</v>
      </c>
      <c r="F3" s="1">
        <v>0.505</v>
      </c>
      <c r="G3" s="1">
        <v>0.8</v>
      </c>
      <c r="H3" s="1">
        <v>0.813</v>
      </c>
      <c r="I3" s="3">
        <v>0.601</v>
      </c>
      <c r="J3" s="3">
        <v>0.76</v>
      </c>
      <c r="K3" s="3">
        <v>0.348</v>
      </c>
      <c r="L3" s="1">
        <v>0.796</v>
      </c>
      <c r="M3" s="1">
        <v>0.696</v>
      </c>
      <c r="N3" s="3">
        <v>0.726</v>
      </c>
      <c r="O3" s="4">
        <f t="shared" ref="O3:O6" si="2">AVERAGE(F3,G3,H3,L3,M3)</f>
        <v>0.722</v>
      </c>
    </row>
    <row r="4">
      <c r="A4" s="10" t="s">
        <v>38</v>
      </c>
      <c r="B4" s="10" t="s">
        <v>19</v>
      </c>
      <c r="C4" s="1">
        <v>5.91</v>
      </c>
      <c r="D4" s="1">
        <v>9.24</v>
      </c>
      <c r="E4" s="4">
        <f t="shared" si="1"/>
        <v>7.575</v>
      </c>
      <c r="F4" s="1">
        <v>0.488</v>
      </c>
      <c r="G4" s="1">
        <v>0.784</v>
      </c>
      <c r="H4" s="1">
        <v>0.795</v>
      </c>
      <c r="I4" s="3">
        <v>0.591</v>
      </c>
      <c r="J4" s="3">
        <v>0.747</v>
      </c>
      <c r="K4" s="3">
        <v>0.346</v>
      </c>
      <c r="L4" s="1">
        <v>0.791</v>
      </c>
      <c r="M4" s="1">
        <v>0.646</v>
      </c>
      <c r="N4" s="3">
        <v>0.727</v>
      </c>
      <c r="O4" s="4">
        <f t="shared" si="2"/>
        <v>0.7008</v>
      </c>
    </row>
    <row r="5">
      <c r="B5" s="1" t="s">
        <v>35</v>
      </c>
      <c r="C5" s="5">
        <v>5.9572</v>
      </c>
      <c r="D5" s="1">
        <v>9.5846</v>
      </c>
      <c r="E5" s="4">
        <f t="shared" si="1"/>
        <v>7.7709</v>
      </c>
      <c r="F5" s="1">
        <v>0.4889</v>
      </c>
      <c r="G5" s="1">
        <v>0.7934</v>
      </c>
      <c r="H5" s="1">
        <v>0.8104</v>
      </c>
      <c r="I5" s="1">
        <v>0.595</v>
      </c>
      <c r="J5" s="1">
        <v>0.7357</v>
      </c>
      <c r="K5" s="1">
        <v>0.348</v>
      </c>
      <c r="L5" s="8">
        <v>0.784</v>
      </c>
      <c r="M5" s="1">
        <v>0.628</v>
      </c>
      <c r="N5" s="1">
        <v>0.7111</v>
      </c>
      <c r="O5" s="4">
        <f t="shared" si="2"/>
        <v>0.70094</v>
      </c>
    </row>
    <row r="6">
      <c r="B6" s="1" t="s">
        <v>39</v>
      </c>
      <c r="C6" s="8">
        <v>5.9236</v>
      </c>
      <c r="D6" s="8">
        <v>9.528</v>
      </c>
      <c r="E6" s="7">
        <f t="shared" si="1"/>
        <v>7.7258</v>
      </c>
      <c r="F6" s="8">
        <v>0.5</v>
      </c>
      <c r="G6" s="8">
        <v>0.794</v>
      </c>
      <c r="H6" s="8">
        <v>0.8147</v>
      </c>
      <c r="I6" s="1">
        <v>0.5954</v>
      </c>
      <c r="J6" s="1">
        <v>0.735</v>
      </c>
      <c r="K6" s="1">
        <v>0.342</v>
      </c>
      <c r="L6" s="1">
        <v>0.7818</v>
      </c>
      <c r="M6" s="8">
        <v>0.6679</v>
      </c>
      <c r="N6" s="1">
        <v>0.7159</v>
      </c>
      <c r="O6" s="7">
        <f t="shared" si="2"/>
        <v>0.71168</v>
      </c>
      <c r="P6" s="1" t="s">
        <v>77</v>
      </c>
    </row>
    <row r="7">
      <c r="A7" s="117"/>
      <c r="B7" s="118" t="s">
        <v>18</v>
      </c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</row>
    <row r="9">
      <c r="B9" s="1" t="s">
        <v>78</v>
      </c>
      <c r="C9" s="1">
        <v>4.845</v>
      </c>
      <c r="D9" s="1">
        <v>7.535</v>
      </c>
      <c r="E9" s="4">
        <f t="shared" ref="E9:E12" si="3">AVERAGE(C9,D9)</f>
        <v>6.19</v>
      </c>
      <c r="F9" s="1">
        <v>0.509</v>
      </c>
      <c r="G9" s="1">
        <v>0.802</v>
      </c>
      <c r="H9" s="1">
        <v>0.837</v>
      </c>
      <c r="I9" s="3">
        <v>0.611</v>
      </c>
      <c r="J9" s="3">
        <v>0.753</v>
      </c>
      <c r="K9" s="3">
        <v>0.352</v>
      </c>
      <c r="L9" s="1">
        <v>0.8</v>
      </c>
      <c r="M9" s="1">
        <v>0.686</v>
      </c>
      <c r="N9" s="3">
        <v>0.743</v>
      </c>
      <c r="O9" s="4">
        <f t="shared" ref="O9:O11" si="4">AVERAGE(F9,G9,H9,L9,M9)</f>
        <v>0.7268</v>
      </c>
    </row>
    <row r="10">
      <c r="A10" s="1" t="s">
        <v>15</v>
      </c>
      <c r="B10" s="1" t="s">
        <v>16</v>
      </c>
      <c r="C10" s="5">
        <v>4.9917</v>
      </c>
      <c r="D10" s="5">
        <v>7.8047</v>
      </c>
      <c r="E10" s="4">
        <f t="shared" si="3"/>
        <v>6.3982</v>
      </c>
      <c r="F10" s="1">
        <v>0.4932</v>
      </c>
      <c r="G10" s="1">
        <v>0.7938</v>
      </c>
      <c r="H10" s="8">
        <v>0.8376</v>
      </c>
      <c r="I10" s="1">
        <v>0.6075</v>
      </c>
      <c r="J10" s="1">
        <v>0.7372</v>
      </c>
      <c r="K10" s="1">
        <v>0.352</v>
      </c>
      <c r="L10" s="1">
        <v>0.8009</v>
      </c>
      <c r="M10" s="8">
        <v>0.6823</v>
      </c>
      <c r="N10" s="1">
        <v>0.7332</v>
      </c>
      <c r="O10" s="4">
        <f t="shared" si="4"/>
        <v>0.72156</v>
      </c>
    </row>
    <row r="11">
      <c r="A11" s="119"/>
      <c r="B11" s="120" t="s">
        <v>57</v>
      </c>
      <c r="C11" s="121">
        <v>4.9696</v>
      </c>
      <c r="D11" s="121">
        <v>7.7841</v>
      </c>
      <c r="E11" s="4">
        <f t="shared" si="3"/>
        <v>6.37685</v>
      </c>
      <c r="F11" s="122">
        <v>0.4983</v>
      </c>
      <c r="G11" s="122">
        <v>0.7942</v>
      </c>
      <c r="H11" s="120">
        <v>0.8324</v>
      </c>
      <c r="I11" s="120">
        <v>0.607</v>
      </c>
      <c r="J11" s="120">
        <v>0.7402</v>
      </c>
      <c r="K11" s="120">
        <v>0.35</v>
      </c>
      <c r="L11" s="122">
        <v>0.8014</v>
      </c>
      <c r="M11" s="122">
        <v>0.6823</v>
      </c>
      <c r="N11" s="120">
        <v>0.7356</v>
      </c>
      <c r="O11" s="123">
        <f t="shared" si="4"/>
        <v>0.72172</v>
      </c>
      <c r="P11" s="120" t="s">
        <v>83</v>
      </c>
      <c r="Q11" s="120" t="s">
        <v>79</v>
      </c>
      <c r="R11" s="119"/>
      <c r="S11" s="119"/>
      <c r="T11" s="119"/>
      <c r="U11" s="119"/>
      <c r="V11" s="119"/>
      <c r="W11" s="119"/>
      <c r="X11" s="119"/>
      <c r="Y11" s="119"/>
      <c r="Z11" s="119"/>
      <c r="AA11" s="119"/>
    </row>
    <row r="12">
      <c r="B12" s="1" t="s">
        <v>17</v>
      </c>
      <c r="C12" s="6">
        <v>4.9704</v>
      </c>
      <c r="D12" s="6">
        <v>7.7167</v>
      </c>
      <c r="E12" s="7">
        <f t="shared" si="3"/>
        <v>6.34355</v>
      </c>
      <c r="F12" s="1">
        <v>0.4804</v>
      </c>
      <c r="G12" s="8">
        <v>0.7934</v>
      </c>
      <c r="H12" s="1">
        <v>0.8202</v>
      </c>
      <c r="I12" s="1"/>
      <c r="J12" s="1"/>
      <c r="K12" s="1"/>
      <c r="L12" s="8">
        <v>0.8014</v>
      </c>
      <c r="M12" s="8">
        <v>0.6751</v>
      </c>
      <c r="N12" s="1"/>
      <c r="O12" s="7"/>
      <c r="P12" s="1"/>
      <c r="Q12" s="1"/>
    </row>
    <row r="13">
      <c r="B13" s="35" t="s">
        <v>18</v>
      </c>
    </row>
    <row r="15">
      <c r="B15" s="1" t="s">
        <v>78</v>
      </c>
      <c r="C15" s="1">
        <v>5.522</v>
      </c>
      <c r="D15" s="1">
        <v>8.409</v>
      </c>
      <c r="E15" s="4">
        <f t="shared" ref="E15:E19" si="5">AVERAGE(C15,D15)</f>
        <v>6.9655</v>
      </c>
      <c r="F15" s="1">
        <v>0.522</v>
      </c>
      <c r="G15" s="1">
        <v>0.822</v>
      </c>
      <c r="H15" s="1">
        <v>0.83</v>
      </c>
      <c r="I15" s="3">
        <v>0.607</v>
      </c>
      <c r="J15" s="3">
        <v>0.751</v>
      </c>
      <c r="K15" s="3">
        <v>0.34</v>
      </c>
      <c r="L15" s="1">
        <v>0.791</v>
      </c>
      <c r="M15" s="1">
        <v>0.711</v>
      </c>
      <c r="N15" s="3">
        <v>0.746</v>
      </c>
      <c r="O15" s="4">
        <f>AVERAGE(F15,G15,H15,L15,M15)</f>
        <v>0.7352</v>
      </c>
    </row>
    <row r="16">
      <c r="A16" s="10" t="s">
        <v>27</v>
      </c>
      <c r="B16" s="1" t="s">
        <v>16</v>
      </c>
      <c r="C16" s="5">
        <v>6.0248</v>
      </c>
      <c r="D16" s="5">
        <v>9.4397</v>
      </c>
      <c r="E16" s="4">
        <f t="shared" si="5"/>
        <v>7.73225</v>
      </c>
      <c r="F16" s="1">
        <v>0.48976</v>
      </c>
      <c r="G16" s="1">
        <v>0.8064</v>
      </c>
      <c r="H16" s="1">
        <v>0.81896</v>
      </c>
      <c r="L16" s="1">
        <v>0.78346</v>
      </c>
      <c r="M16" s="1">
        <v>0.67509</v>
      </c>
      <c r="O16" s="1">
        <v>0.71473</v>
      </c>
    </row>
    <row r="17">
      <c r="A17" s="92"/>
      <c r="B17" s="93" t="s">
        <v>57</v>
      </c>
      <c r="C17" s="97">
        <v>5.9663</v>
      </c>
      <c r="D17" s="97">
        <v>9.3632</v>
      </c>
      <c r="E17" s="92">
        <f t="shared" si="5"/>
        <v>7.66475</v>
      </c>
      <c r="F17" s="93">
        <v>0.5</v>
      </c>
      <c r="G17" s="93">
        <v>0.80682</v>
      </c>
      <c r="H17" s="93">
        <v>0.81315</v>
      </c>
      <c r="I17" s="92"/>
      <c r="J17" s="92"/>
      <c r="K17" s="92"/>
      <c r="L17" s="93">
        <v>0.78672</v>
      </c>
      <c r="M17" s="93">
        <v>0.68231</v>
      </c>
      <c r="N17" s="92"/>
      <c r="O17" s="93">
        <v>0.7178</v>
      </c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>
      <c r="A18" s="119"/>
      <c r="B18" s="120" t="s">
        <v>28</v>
      </c>
      <c r="C18" s="122">
        <v>5.9727</v>
      </c>
      <c r="D18" s="122">
        <v>9.3692</v>
      </c>
      <c r="E18" s="123">
        <f t="shared" si="5"/>
        <v>7.67095</v>
      </c>
      <c r="F18" s="122">
        <v>0.50512</v>
      </c>
      <c r="G18" s="122">
        <v>0.80682</v>
      </c>
      <c r="H18" s="120">
        <v>0.81284</v>
      </c>
      <c r="I18" s="119"/>
      <c r="J18" s="119"/>
      <c r="K18" s="119"/>
      <c r="L18" s="122">
        <v>0.78672</v>
      </c>
      <c r="M18" s="122">
        <v>0.69314</v>
      </c>
      <c r="N18" s="119"/>
      <c r="O18" s="123">
        <f t="shared" ref="O18:O19" si="6">AVERAGE(F18,G18,H18,L18,M18)</f>
        <v>0.720928</v>
      </c>
      <c r="P18" s="120" t="s">
        <v>77</v>
      </c>
      <c r="Q18" s="120" t="s">
        <v>80</v>
      </c>
      <c r="R18" s="119"/>
      <c r="S18" s="119"/>
      <c r="T18" s="119"/>
      <c r="U18" s="119"/>
      <c r="V18" s="119"/>
      <c r="W18" s="119"/>
      <c r="X18" s="119"/>
      <c r="Y18" s="119"/>
      <c r="Z18" s="119"/>
      <c r="AA18" s="119"/>
    </row>
    <row r="19">
      <c r="B19" s="9" t="s">
        <v>18</v>
      </c>
      <c r="C19" s="1">
        <v>6.0815</v>
      </c>
      <c r="D19" s="1">
        <v>9.6308</v>
      </c>
      <c r="E19" s="4">
        <f t="shared" si="5"/>
        <v>7.85615</v>
      </c>
      <c r="F19" s="1">
        <v>0.487201</v>
      </c>
      <c r="G19" s="1">
        <v>0.8009</v>
      </c>
      <c r="H19" s="8">
        <v>0.8275</v>
      </c>
      <c r="L19" s="1">
        <v>0.7845</v>
      </c>
      <c r="M19" s="1">
        <v>0.6715</v>
      </c>
      <c r="O19" s="7">
        <f t="shared" si="6"/>
        <v>0.7143202</v>
      </c>
      <c r="Q19" s="1" t="s">
        <v>81</v>
      </c>
    </row>
    <row r="21">
      <c r="B21" s="1" t="s">
        <v>78</v>
      </c>
      <c r="C21" s="1">
        <v>6.0839</v>
      </c>
      <c r="D21" s="1">
        <v>10.8166</v>
      </c>
      <c r="E21" s="4">
        <f t="shared" ref="E21:E25" si="7">AVERAGE(C21,D21)</f>
        <v>8.45025</v>
      </c>
      <c r="F21" s="1">
        <v>0.477</v>
      </c>
      <c r="G21" s="1">
        <v>0.804</v>
      </c>
      <c r="H21" s="1">
        <v>0.846</v>
      </c>
      <c r="I21" s="3">
        <v>0.6</v>
      </c>
      <c r="J21" s="3">
        <v>0.719</v>
      </c>
      <c r="K21" s="3">
        <v>0.332</v>
      </c>
      <c r="L21" s="1">
        <v>0.787</v>
      </c>
      <c r="M21" s="1">
        <v>0.815</v>
      </c>
      <c r="N21" s="3">
        <v>0.73</v>
      </c>
      <c r="O21" s="4">
        <f>AVERAGE(F21,G21,H21,L21,M21)</f>
        <v>0.7458</v>
      </c>
    </row>
    <row r="22">
      <c r="A22" s="10" t="s">
        <v>33</v>
      </c>
      <c r="B22" s="1" t="s">
        <v>16</v>
      </c>
      <c r="C22" s="5">
        <v>6.3893</v>
      </c>
      <c r="D22" s="5">
        <v>11.2961</v>
      </c>
      <c r="E22" s="4">
        <f t="shared" si="7"/>
        <v>8.8427</v>
      </c>
      <c r="F22" s="1">
        <v>0.47424</v>
      </c>
      <c r="G22" s="8">
        <v>0.80387</v>
      </c>
      <c r="H22" s="1">
        <v>0.83547</v>
      </c>
      <c r="L22" s="8">
        <v>0.78672</v>
      </c>
      <c r="M22" s="1">
        <v>0.81227</v>
      </c>
      <c r="O22" s="1">
        <v>0.74272</v>
      </c>
    </row>
    <row r="23">
      <c r="A23" s="92"/>
      <c r="B23" s="93" t="s">
        <v>57</v>
      </c>
      <c r="C23" s="97">
        <v>6.3446</v>
      </c>
      <c r="D23" s="97">
        <v>11.1867</v>
      </c>
      <c r="E23" s="92">
        <f t="shared" si="7"/>
        <v>8.76565</v>
      </c>
      <c r="F23" s="96">
        <v>0.47526</v>
      </c>
      <c r="G23" s="93">
        <v>0.79251</v>
      </c>
      <c r="H23" s="96">
        <v>0.83731</v>
      </c>
      <c r="I23" s="92"/>
      <c r="J23" s="92"/>
      <c r="K23" s="92"/>
      <c r="L23" s="93">
        <v>0.7846</v>
      </c>
      <c r="M23" s="93">
        <v>0.82671</v>
      </c>
      <c r="N23" s="92"/>
      <c r="O23" s="95">
        <f t="shared" ref="O23:O25" si="8">AVERAGE(F23,G23,H23,L23,M23)</f>
        <v>0.743278</v>
      </c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</row>
    <row r="24">
      <c r="B24" s="1" t="s">
        <v>34</v>
      </c>
      <c r="C24" s="8">
        <v>6.3423</v>
      </c>
      <c r="D24" s="8">
        <v>11.1871</v>
      </c>
      <c r="E24" s="7">
        <f t="shared" si="7"/>
        <v>8.7647</v>
      </c>
      <c r="F24" s="8">
        <v>0.47526</v>
      </c>
      <c r="G24" s="1">
        <v>0.7967</v>
      </c>
      <c r="H24" s="8">
        <v>0.8379</v>
      </c>
      <c r="L24" s="1">
        <v>0.7851</v>
      </c>
      <c r="M24" s="8">
        <v>0.8267</v>
      </c>
      <c r="O24" s="4">
        <f t="shared" si="8"/>
        <v>0.744332</v>
      </c>
      <c r="Q24" s="1" t="s">
        <v>81</v>
      </c>
    </row>
    <row r="25">
      <c r="B25" s="9" t="s">
        <v>18</v>
      </c>
      <c r="C25" s="1">
        <v>6.3405</v>
      </c>
      <c r="D25" s="1">
        <v>11.2008</v>
      </c>
      <c r="E25" s="4">
        <f t="shared" si="7"/>
        <v>8.77065</v>
      </c>
      <c r="F25" s="1">
        <v>0.46502</v>
      </c>
      <c r="G25" s="1">
        <v>0.79377</v>
      </c>
      <c r="H25" s="1">
        <v>0.83211</v>
      </c>
      <c r="L25" s="1">
        <v>0.784</v>
      </c>
      <c r="M25" s="1">
        <v>0.83394</v>
      </c>
      <c r="O25" s="4">
        <f t="shared" si="8"/>
        <v>0.741768</v>
      </c>
      <c r="Q25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</cols>
  <sheetData>
    <row r="1">
      <c r="A1" s="1" t="s">
        <v>0</v>
      </c>
      <c r="B1" s="1" t="s">
        <v>1</v>
      </c>
      <c r="I1" s="2"/>
      <c r="J1" s="2"/>
      <c r="K1" s="2"/>
      <c r="N1" s="2"/>
    </row>
    <row r="2">
      <c r="C2" s="1" t="s">
        <v>2</v>
      </c>
      <c r="D2" s="1" t="s">
        <v>3</v>
      </c>
      <c r="F2" s="1" t="s">
        <v>4</v>
      </c>
      <c r="G2" s="1" t="s">
        <v>5</v>
      </c>
      <c r="H2" s="1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1" t="s">
        <v>11</v>
      </c>
      <c r="N2" s="3" t="s">
        <v>12</v>
      </c>
    </row>
    <row r="3">
      <c r="B3" s="1" t="s">
        <v>61</v>
      </c>
      <c r="C3" s="1">
        <v>4.845</v>
      </c>
      <c r="D3" s="1">
        <v>7.535</v>
      </c>
      <c r="F3" s="1">
        <v>0.509</v>
      </c>
      <c r="G3" s="1">
        <v>0.802</v>
      </c>
      <c r="H3" s="1">
        <v>0.837</v>
      </c>
      <c r="I3" s="3">
        <v>0.611</v>
      </c>
      <c r="J3" s="3">
        <v>0.753</v>
      </c>
      <c r="K3" s="3">
        <v>0.352</v>
      </c>
      <c r="L3" s="1">
        <v>0.8</v>
      </c>
      <c r="M3" s="1">
        <v>0.686</v>
      </c>
      <c r="N3" s="3">
        <v>0.743</v>
      </c>
      <c r="O3" s="4">
        <f t="shared" ref="O3:O6" si="1">AVERAGE(F3,G3,H3,L3,M3)</f>
        <v>0.7268</v>
      </c>
    </row>
    <row r="4">
      <c r="A4" s="1" t="s">
        <v>50</v>
      </c>
      <c r="B4" s="1" t="s">
        <v>187</v>
      </c>
      <c r="C4" s="1">
        <v>5.0012</v>
      </c>
      <c r="D4" s="1">
        <v>7.818</v>
      </c>
      <c r="F4" s="1">
        <v>0.4897</v>
      </c>
      <c r="G4" s="1">
        <v>0.792</v>
      </c>
      <c r="H4" s="1">
        <v>0.8311</v>
      </c>
      <c r="I4" s="3">
        <v>0.6062</v>
      </c>
      <c r="J4" s="3">
        <v>0.7376</v>
      </c>
      <c r="K4" s="3">
        <v>0.356</v>
      </c>
      <c r="L4" s="8">
        <v>0.8015</v>
      </c>
      <c r="M4" s="8">
        <v>0.665</v>
      </c>
      <c r="N4" s="11">
        <v>0.7411</v>
      </c>
      <c r="O4" s="4">
        <f t="shared" si="1"/>
        <v>0.71586</v>
      </c>
    </row>
    <row r="5">
      <c r="B5" s="1" t="s">
        <v>188</v>
      </c>
      <c r="C5" s="1">
        <v>5.0034</v>
      </c>
      <c r="D5" s="1">
        <v>7.8195</v>
      </c>
      <c r="F5" s="1">
        <v>0.4914</v>
      </c>
      <c r="G5" s="1">
        <v>0.7925</v>
      </c>
      <c r="H5" s="1">
        <v>0.8311</v>
      </c>
      <c r="I5" s="3">
        <v>0.6047</v>
      </c>
      <c r="J5" s="3">
        <v>0.7395</v>
      </c>
      <c r="K5" s="11">
        <v>0.36</v>
      </c>
      <c r="L5" s="1">
        <v>0.797</v>
      </c>
      <c r="M5" s="1">
        <v>0.6642</v>
      </c>
      <c r="N5" s="3">
        <v>0.7395</v>
      </c>
      <c r="O5" s="4">
        <f t="shared" si="1"/>
        <v>0.71524</v>
      </c>
    </row>
    <row r="6">
      <c r="B6" s="1" t="s">
        <v>189</v>
      </c>
      <c r="C6" s="8">
        <v>4.9922</v>
      </c>
      <c r="D6" s="8">
        <v>7.8065</v>
      </c>
      <c r="F6" s="8">
        <v>0.4931</v>
      </c>
      <c r="G6" s="8">
        <v>0.7925</v>
      </c>
      <c r="H6" s="8">
        <v>0.8336</v>
      </c>
      <c r="I6" s="11">
        <v>0.6078</v>
      </c>
      <c r="J6" s="11">
        <v>0.7397</v>
      </c>
      <c r="K6" s="3">
        <v>0.35</v>
      </c>
      <c r="L6" s="1">
        <v>0.8003</v>
      </c>
      <c r="M6" s="1">
        <v>0.6642</v>
      </c>
      <c r="N6" s="3">
        <v>0.734</v>
      </c>
      <c r="O6" s="7">
        <f t="shared" si="1"/>
        <v>0.71674</v>
      </c>
    </row>
    <row r="7">
      <c r="I7" s="2"/>
      <c r="J7" s="2"/>
      <c r="K7" s="2"/>
      <c r="N7" s="2"/>
    </row>
    <row r="8">
      <c r="I8" s="2"/>
      <c r="J8" s="2"/>
      <c r="K8" s="2"/>
      <c r="N8" s="2"/>
    </row>
    <row r="9">
      <c r="A9" s="1" t="s">
        <v>190</v>
      </c>
      <c r="B9" s="1" t="s">
        <v>61</v>
      </c>
      <c r="C9" s="1">
        <v>5.442</v>
      </c>
      <c r="D9" s="1">
        <v>8.346</v>
      </c>
      <c r="F9" s="1">
        <v>0.505</v>
      </c>
      <c r="G9" s="1">
        <v>0.8</v>
      </c>
      <c r="H9" s="1">
        <v>0.813</v>
      </c>
      <c r="I9" s="3">
        <v>0.601</v>
      </c>
      <c r="J9" s="3">
        <v>0.76</v>
      </c>
      <c r="K9" s="3">
        <v>0.348</v>
      </c>
      <c r="L9" s="1">
        <v>0.796</v>
      </c>
      <c r="M9" s="1">
        <v>0.696</v>
      </c>
      <c r="N9" s="3">
        <v>0.726</v>
      </c>
      <c r="O9" s="4">
        <f t="shared" ref="O9:O12" si="2">AVERAGE(F9,G9,H9,L9,M9)</f>
        <v>0.722</v>
      </c>
    </row>
    <row r="10">
      <c r="B10" s="1" t="s">
        <v>187</v>
      </c>
      <c r="C10" s="1">
        <v>5.9802</v>
      </c>
      <c r="D10" s="1">
        <v>9.6267</v>
      </c>
      <c r="F10" s="1">
        <v>0.4974</v>
      </c>
      <c r="G10" s="1">
        <v>0.7899</v>
      </c>
      <c r="H10" s="1">
        <v>0.785</v>
      </c>
      <c r="I10" s="3">
        <v>0.5937</v>
      </c>
      <c r="J10" s="3">
        <v>0.7147</v>
      </c>
      <c r="K10" s="11">
        <v>0.358</v>
      </c>
      <c r="L10" s="1">
        <v>0.7861</v>
      </c>
      <c r="M10" s="1">
        <v>0.6209</v>
      </c>
      <c r="N10" s="3">
        <v>0.7221</v>
      </c>
      <c r="O10" s="4">
        <f t="shared" si="2"/>
        <v>0.69586</v>
      </c>
    </row>
    <row r="11">
      <c r="B11" s="1" t="s">
        <v>188</v>
      </c>
      <c r="C11" s="1">
        <v>5.9843</v>
      </c>
      <c r="D11" s="1">
        <v>9.6308</v>
      </c>
      <c r="F11" s="1">
        <v>0.5008</v>
      </c>
      <c r="G11" s="1">
        <v>0.792</v>
      </c>
      <c r="H11" s="1">
        <v>0.7886</v>
      </c>
      <c r="I11" s="3">
        <v>0.5936</v>
      </c>
      <c r="J11" s="3">
        <v>0.7168</v>
      </c>
      <c r="K11" s="3">
        <v>0.35</v>
      </c>
      <c r="L11" s="8">
        <v>0.7867</v>
      </c>
      <c r="M11" s="1">
        <v>0.6245</v>
      </c>
      <c r="N11" s="11">
        <v>0.7284</v>
      </c>
      <c r="O11" s="4">
        <f t="shared" si="2"/>
        <v>0.69852</v>
      </c>
    </row>
    <row r="12">
      <c r="B12" s="1" t="s">
        <v>189</v>
      </c>
      <c r="C12" s="8">
        <v>5.9381</v>
      </c>
      <c r="D12" s="8">
        <v>9.5424</v>
      </c>
      <c r="F12" s="8">
        <v>0.5034</v>
      </c>
      <c r="G12" s="8">
        <v>0.7937</v>
      </c>
      <c r="H12" s="8">
        <v>0.7938</v>
      </c>
      <c r="I12" s="8">
        <v>0.5948</v>
      </c>
      <c r="J12" s="8">
        <v>0.7221</v>
      </c>
      <c r="K12" s="1">
        <v>0.346</v>
      </c>
      <c r="L12" s="1">
        <v>0.7861</v>
      </c>
      <c r="M12" s="8">
        <v>0.6317</v>
      </c>
      <c r="N12" s="8">
        <v>0.7284</v>
      </c>
      <c r="O12" s="7">
        <f t="shared" si="2"/>
        <v>0.70174</v>
      </c>
    </row>
    <row r="14">
      <c r="A14" s="1" t="s">
        <v>191</v>
      </c>
      <c r="E14" s="1" t="s">
        <v>192</v>
      </c>
      <c r="I14" s="3"/>
      <c r="J14" s="3"/>
      <c r="K14" s="3"/>
      <c r="N14" s="3"/>
    </row>
    <row r="15">
      <c r="A15" s="1" t="s">
        <v>50</v>
      </c>
      <c r="B15" s="1" t="s">
        <v>61</v>
      </c>
      <c r="C15" s="1">
        <v>4.845</v>
      </c>
      <c r="D15" s="1">
        <v>7.535</v>
      </c>
      <c r="E15" s="4">
        <v>0.7267999999999999</v>
      </c>
      <c r="F15" s="1">
        <v>0.509</v>
      </c>
      <c r="G15" s="1">
        <v>0.802</v>
      </c>
      <c r="H15" s="1">
        <v>0.837</v>
      </c>
      <c r="I15" s="3"/>
      <c r="J15" s="3"/>
      <c r="K15" s="3"/>
      <c r="L15" s="1">
        <v>0.8</v>
      </c>
      <c r="M15" s="1">
        <v>0.686</v>
      </c>
      <c r="N15" s="3"/>
      <c r="O15" s="4">
        <f t="shared" ref="O15:O18" si="3">AVERAGE(F15,G15,H15,L15,M15)</f>
        <v>0.7268</v>
      </c>
    </row>
    <row r="16">
      <c r="B16" s="1" t="s">
        <v>187</v>
      </c>
      <c r="C16" s="1">
        <v>5.7415</v>
      </c>
      <c r="D16" s="1">
        <v>8.9101</v>
      </c>
      <c r="E16" s="4">
        <v>0.67932</v>
      </c>
      <c r="F16" s="1">
        <v>0.4283</v>
      </c>
      <c r="G16" s="1">
        <v>0.7534</v>
      </c>
      <c r="H16" s="1">
        <v>0.767</v>
      </c>
      <c r="I16" s="3"/>
      <c r="J16" s="3"/>
      <c r="K16" s="3"/>
      <c r="L16" s="1">
        <v>0.7764</v>
      </c>
      <c r="M16" s="8">
        <v>0.6715</v>
      </c>
      <c r="N16" s="11"/>
      <c r="O16" s="4">
        <f t="shared" si="3"/>
        <v>0.67932</v>
      </c>
    </row>
    <row r="17">
      <c r="B17" s="1" t="s">
        <v>188</v>
      </c>
      <c r="C17" s="1">
        <v>5.762</v>
      </c>
      <c r="D17" s="1">
        <v>8.9467</v>
      </c>
      <c r="E17" s="4">
        <v>0.67638</v>
      </c>
      <c r="F17" s="1">
        <v>0.4224</v>
      </c>
      <c r="G17" s="1">
        <v>0.7445</v>
      </c>
      <c r="H17" s="1">
        <v>0.7881</v>
      </c>
      <c r="I17" s="3"/>
      <c r="J17" s="3"/>
      <c r="K17" s="11"/>
      <c r="L17" s="1">
        <v>0.7807</v>
      </c>
      <c r="M17" s="1">
        <v>0.6462</v>
      </c>
      <c r="N17" s="3"/>
      <c r="O17" s="4">
        <f t="shared" si="3"/>
        <v>0.67638</v>
      </c>
    </row>
    <row r="18">
      <c r="B18" s="1" t="s">
        <v>193</v>
      </c>
      <c r="C18" s="8">
        <v>5.5625</v>
      </c>
      <c r="D18" s="8">
        <v>8.6731</v>
      </c>
      <c r="E18" s="4">
        <v>0.68992</v>
      </c>
      <c r="F18" s="8">
        <v>0.4556</v>
      </c>
      <c r="G18" s="8">
        <v>0.7626</v>
      </c>
      <c r="H18" s="8">
        <v>0.7746</v>
      </c>
      <c r="I18" s="11"/>
      <c r="J18" s="11"/>
      <c r="K18" s="3"/>
      <c r="L18" s="1">
        <v>0.7889</v>
      </c>
      <c r="M18" s="1">
        <v>0.6679</v>
      </c>
      <c r="N18" s="3"/>
      <c r="O18" s="4">
        <f t="shared" si="3"/>
        <v>0.68992</v>
      </c>
    </row>
    <row r="19">
      <c r="I19" s="2"/>
      <c r="J19" s="2"/>
      <c r="K19" s="2"/>
      <c r="N19" s="2"/>
    </row>
    <row r="20">
      <c r="I20" s="2"/>
      <c r="J20" s="2"/>
      <c r="K20" s="2"/>
      <c r="N20" s="2"/>
    </row>
    <row r="21">
      <c r="A21" s="1" t="s">
        <v>190</v>
      </c>
      <c r="B21" s="1" t="s">
        <v>61</v>
      </c>
      <c r="C21" s="1">
        <v>5.442</v>
      </c>
      <c r="D21" s="1">
        <v>8.346</v>
      </c>
      <c r="E21" s="4">
        <v>0.7220000000000001</v>
      </c>
      <c r="F21" s="1">
        <v>0.505</v>
      </c>
      <c r="G21" s="1">
        <v>0.8</v>
      </c>
      <c r="H21" s="1">
        <v>0.813</v>
      </c>
      <c r="I21" s="3"/>
      <c r="J21" s="3"/>
      <c r="K21" s="3"/>
      <c r="L21" s="1">
        <v>0.796</v>
      </c>
      <c r="M21" s="1">
        <v>0.696</v>
      </c>
      <c r="N21" s="3"/>
      <c r="O21" s="4">
        <f t="shared" ref="O21:O24" si="4">AVERAGE(F21,G21,H21,L21,M21)</f>
        <v>0.722</v>
      </c>
    </row>
    <row r="22">
      <c r="B22" s="1" t="s">
        <v>187</v>
      </c>
      <c r="C22" s="1">
        <v>10.4528</v>
      </c>
      <c r="D22" s="1">
        <v>17.3676</v>
      </c>
      <c r="E22" s="4">
        <v>0.6315000000000001</v>
      </c>
      <c r="F22" s="1">
        <v>0.4113</v>
      </c>
      <c r="G22" s="1">
        <v>0.718</v>
      </c>
      <c r="H22" s="1">
        <v>0.7257</v>
      </c>
      <c r="I22" s="3"/>
      <c r="J22" s="3"/>
      <c r="K22" s="11"/>
      <c r="L22" s="1">
        <v>0.7465</v>
      </c>
      <c r="M22" s="1">
        <v>0.556</v>
      </c>
      <c r="N22" s="3"/>
      <c r="O22" s="4">
        <f t="shared" si="4"/>
        <v>0.6315</v>
      </c>
    </row>
    <row r="23">
      <c r="B23" s="1" t="s">
        <v>188</v>
      </c>
      <c r="C23" s="1">
        <v>10.6225</v>
      </c>
      <c r="D23" s="1">
        <v>17.6562</v>
      </c>
      <c r="E23" s="4">
        <v>0.6302000000000001</v>
      </c>
      <c r="F23" s="1">
        <v>0.4087</v>
      </c>
      <c r="G23" s="1">
        <v>0.7201</v>
      </c>
      <c r="H23" s="1">
        <v>0.7156</v>
      </c>
      <c r="I23" s="3"/>
      <c r="J23" s="3"/>
      <c r="K23" s="3"/>
      <c r="L23" s="8">
        <v>0.747</v>
      </c>
      <c r="M23" s="1">
        <v>0.5596</v>
      </c>
      <c r="N23" s="11"/>
      <c r="O23" s="4">
        <f t="shared" si="4"/>
        <v>0.6302</v>
      </c>
    </row>
    <row r="24">
      <c r="B24" s="1" t="s">
        <v>193</v>
      </c>
      <c r="C24" s="1">
        <v>9.8101</v>
      </c>
      <c r="D24" s="1">
        <v>15.8705</v>
      </c>
      <c r="E24" s="4">
        <v>0.64582</v>
      </c>
      <c r="F24" s="8">
        <v>0.4147</v>
      </c>
      <c r="G24" s="8">
        <v>0.7332</v>
      </c>
      <c r="H24" s="8">
        <v>0.7456</v>
      </c>
      <c r="I24" s="8"/>
      <c r="J24" s="8"/>
      <c r="L24" s="8">
        <v>0.7508</v>
      </c>
      <c r="M24" s="8">
        <v>0.5848</v>
      </c>
      <c r="N24" s="8"/>
      <c r="O24" s="4">
        <f t="shared" si="4"/>
        <v>0.64582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</cols>
  <sheetData>
    <row r="1">
      <c r="A1" s="1" t="s">
        <v>0</v>
      </c>
      <c r="B1" s="1" t="s">
        <v>1</v>
      </c>
      <c r="N1" s="2"/>
    </row>
    <row r="2">
      <c r="A2" s="1" t="s">
        <v>191</v>
      </c>
      <c r="C2" s="1" t="s">
        <v>194</v>
      </c>
      <c r="D2" s="1" t="s">
        <v>195</v>
      </c>
      <c r="F2" s="1" t="s">
        <v>31</v>
      </c>
      <c r="G2" s="1" t="s">
        <v>32</v>
      </c>
      <c r="H2" s="1" t="s">
        <v>6</v>
      </c>
      <c r="I2" s="1" t="s">
        <v>10</v>
      </c>
      <c r="J2" s="1" t="s">
        <v>11</v>
      </c>
      <c r="K2" s="1" t="s">
        <v>192</v>
      </c>
      <c r="N2" s="3"/>
    </row>
    <row r="3">
      <c r="A3" s="1" t="s">
        <v>50</v>
      </c>
      <c r="B3" s="1" t="s">
        <v>61</v>
      </c>
      <c r="C3" s="1">
        <v>4.845</v>
      </c>
      <c r="D3" s="1">
        <v>7.535</v>
      </c>
      <c r="F3" s="1">
        <v>0.509</v>
      </c>
      <c r="G3" s="1">
        <v>0.802</v>
      </c>
      <c r="H3" s="1">
        <v>0.837</v>
      </c>
      <c r="I3" s="1">
        <v>0.8</v>
      </c>
      <c r="J3" s="1">
        <v>0.686</v>
      </c>
      <c r="K3" s="4">
        <v>0.7267999999999999</v>
      </c>
      <c r="N3" s="3"/>
    </row>
    <row r="4">
      <c r="B4" s="1" t="s">
        <v>187</v>
      </c>
      <c r="C4" s="1">
        <v>5.7415</v>
      </c>
      <c r="D4" s="1">
        <v>8.9101</v>
      </c>
      <c r="F4" s="1">
        <v>0.4283</v>
      </c>
      <c r="G4" s="1">
        <v>0.7534</v>
      </c>
      <c r="H4" s="1">
        <v>0.767</v>
      </c>
      <c r="I4" s="1">
        <v>0.7764</v>
      </c>
      <c r="J4" s="8">
        <v>0.6715</v>
      </c>
      <c r="K4" s="4">
        <v>0.67932</v>
      </c>
      <c r="N4" s="11"/>
    </row>
    <row r="5">
      <c r="B5" s="1" t="s">
        <v>188</v>
      </c>
      <c r="C5" s="1">
        <v>5.762</v>
      </c>
      <c r="D5" s="1">
        <v>8.9467</v>
      </c>
      <c r="F5" s="1">
        <v>0.4224</v>
      </c>
      <c r="G5" s="1">
        <v>0.7445</v>
      </c>
      <c r="H5" s="1">
        <v>0.7881</v>
      </c>
      <c r="I5" s="1">
        <v>0.7807</v>
      </c>
      <c r="J5" s="1">
        <v>0.6462</v>
      </c>
      <c r="K5" s="4">
        <v>0.67638</v>
      </c>
      <c r="N5" s="3"/>
    </row>
    <row r="6">
      <c r="B6" s="1" t="s">
        <v>193</v>
      </c>
      <c r="C6" s="8">
        <v>5.5625</v>
      </c>
      <c r="D6" s="8">
        <v>8.6731</v>
      </c>
      <c r="F6" s="8">
        <v>0.4556</v>
      </c>
      <c r="G6" s="8">
        <v>0.7626</v>
      </c>
      <c r="H6" s="8">
        <v>0.7746</v>
      </c>
      <c r="I6" s="1">
        <v>0.7889</v>
      </c>
      <c r="J6" s="1">
        <v>0.6679</v>
      </c>
      <c r="K6" s="4">
        <v>0.68992</v>
      </c>
      <c r="N6" s="3"/>
    </row>
    <row r="7">
      <c r="N7" s="2"/>
    </row>
    <row r="8">
      <c r="N8" s="2"/>
    </row>
    <row r="9">
      <c r="A9" s="1" t="s">
        <v>190</v>
      </c>
      <c r="B9" s="1" t="s">
        <v>61</v>
      </c>
      <c r="C9" s="1">
        <v>5.442</v>
      </c>
      <c r="D9" s="1">
        <v>8.346</v>
      </c>
      <c r="F9" s="1">
        <v>0.505</v>
      </c>
      <c r="G9" s="1">
        <v>0.8</v>
      </c>
      <c r="H9" s="1">
        <v>0.813</v>
      </c>
      <c r="I9" s="1">
        <v>0.796</v>
      </c>
      <c r="J9" s="1">
        <v>0.696</v>
      </c>
      <c r="K9" s="4">
        <v>0.7220000000000001</v>
      </c>
      <c r="N9" s="3"/>
    </row>
    <row r="10">
      <c r="B10" s="1" t="s">
        <v>187</v>
      </c>
      <c r="C10" s="1">
        <v>10.4528</v>
      </c>
      <c r="D10" s="1">
        <v>17.3676</v>
      </c>
      <c r="F10" s="1">
        <v>0.4113</v>
      </c>
      <c r="G10" s="1">
        <v>0.718</v>
      </c>
      <c r="H10" s="1">
        <v>0.7257</v>
      </c>
      <c r="I10" s="1">
        <v>0.7465</v>
      </c>
      <c r="J10" s="1">
        <v>0.556</v>
      </c>
      <c r="K10" s="4">
        <v>0.6315000000000001</v>
      </c>
      <c r="N10" s="3"/>
    </row>
    <row r="11">
      <c r="B11" s="1" t="s">
        <v>188</v>
      </c>
      <c r="C11" s="1">
        <v>10.6225</v>
      </c>
      <c r="D11" s="1">
        <v>17.6562</v>
      </c>
      <c r="F11" s="1">
        <v>0.4087</v>
      </c>
      <c r="G11" s="1">
        <v>0.7201</v>
      </c>
      <c r="H11" s="1">
        <v>0.7156</v>
      </c>
      <c r="I11" s="8">
        <v>0.747</v>
      </c>
      <c r="J11" s="1">
        <v>0.5596</v>
      </c>
      <c r="K11" s="4">
        <v>0.6302000000000001</v>
      </c>
      <c r="N11" s="11"/>
    </row>
    <row r="12">
      <c r="B12" s="1" t="s">
        <v>193</v>
      </c>
      <c r="C12" s="1">
        <v>9.8101</v>
      </c>
      <c r="D12" s="1">
        <v>15.8705</v>
      </c>
      <c r="F12" s="8">
        <v>0.4147</v>
      </c>
      <c r="G12" s="8">
        <v>0.7332</v>
      </c>
      <c r="H12" s="8">
        <v>0.7456</v>
      </c>
      <c r="I12" s="8">
        <v>0.7508</v>
      </c>
      <c r="J12" s="8">
        <v>0.5848</v>
      </c>
      <c r="K12" s="4">
        <v>0.64582</v>
      </c>
      <c r="N12" s="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4" t="s">
        <v>196</v>
      </c>
    </row>
    <row r="2">
      <c r="A2" s="125" t="s">
        <v>160</v>
      </c>
      <c r="B2" s="125" t="s">
        <v>161</v>
      </c>
      <c r="C2" s="125" t="s">
        <v>197</v>
      </c>
      <c r="D2" s="125" t="s">
        <v>4</v>
      </c>
      <c r="E2" s="125" t="s">
        <v>5</v>
      </c>
      <c r="F2" s="125" t="s">
        <v>6</v>
      </c>
      <c r="G2" s="125" t="s">
        <v>10</v>
      </c>
      <c r="H2" s="125" t="s">
        <v>11</v>
      </c>
      <c r="I2" s="125" t="s">
        <v>198</v>
      </c>
    </row>
    <row r="3">
      <c r="A3" s="126" t="s">
        <v>199</v>
      </c>
      <c r="B3" s="127" t="s">
        <v>200</v>
      </c>
      <c r="C3" s="127">
        <v>6.084</v>
      </c>
      <c r="D3" s="127">
        <v>47.7</v>
      </c>
      <c r="E3" s="127">
        <v>80.43</v>
      </c>
      <c r="F3" s="127">
        <v>84.62</v>
      </c>
      <c r="G3" s="127">
        <v>78.84</v>
      </c>
      <c r="H3" s="127">
        <v>81.59</v>
      </c>
      <c r="I3" s="125">
        <v>74.63</v>
      </c>
    </row>
    <row r="4">
      <c r="A4" s="126" t="s">
        <v>201</v>
      </c>
      <c r="B4" s="127" t="s">
        <v>200</v>
      </c>
      <c r="C4" s="127">
        <v>8.649</v>
      </c>
      <c r="D4" s="127">
        <v>43.0</v>
      </c>
      <c r="E4" s="127">
        <v>73.27</v>
      </c>
      <c r="F4" s="127">
        <v>79.08</v>
      </c>
      <c r="G4" s="127">
        <v>76.5</v>
      </c>
      <c r="H4" s="127">
        <v>67.87</v>
      </c>
      <c r="I4" s="125">
        <v>67.95</v>
      </c>
    </row>
    <row r="5">
      <c r="A5" s="127">
        <v>0.0</v>
      </c>
      <c r="B5" s="127">
        <v>0.01</v>
      </c>
      <c r="C5" s="127">
        <v>8.374</v>
      </c>
      <c r="D5" s="127">
        <v>43.77</v>
      </c>
      <c r="E5" s="127">
        <v>72.26</v>
      </c>
      <c r="F5" s="127">
        <v>79.14</v>
      </c>
      <c r="G5" s="127">
        <v>76.93</v>
      </c>
      <c r="H5" s="127">
        <v>68.59</v>
      </c>
      <c r="I5" s="125">
        <v>68.14</v>
      </c>
    </row>
    <row r="6">
      <c r="A6" s="127">
        <v>0.0</v>
      </c>
      <c r="B6" s="127">
        <v>0.02</v>
      </c>
      <c r="C6" s="127">
        <v>8.225</v>
      </c>
      <c r="D6" s="127">
        <v>43.6</v>
      </c>
      <c r="E6" s="127">
        <v>72.35</v>
      </c>
      <c r="F6" s="127">
        <v>80.95</v>
      </c>
      <c r="G6" s="127">
        <v>76.99</v>
      </c>
      <c r="H6" s="127">
        <v>65.7</v>
      </c>
      <c r="I6" s="125">
        <v>67.92</v>
      </c>
    </row>
    <row r="7">
      <c r="A7" s="127">
        <v>0.0</v>
      </c>
      <c r="B7" s="127">
        <v>0.03</v>
      </c>
      <c r="C7" s="127">
        <v>8.128</v>
      </c>
      <c r="D7" s="127">
        <v>44.45</v>
      </c>
      <c r="E7" s="127">
        <v>72.26</v>
      </c>
      <c r="F7" s="127">
        <v>80.34</v>
      </c>
      <c r="G7" s="127">
        <v>77.42</v>
      </c>
      <c r="H7" s="127">
        <v>66.06</v>
      </c>
      <c r="I7" s="125">
        <v>68.11</v>
      </c>
    </row>
    <row r="8">
      <c r="A8" s="127">
        <v>0.0</v>
      </c>
      <c r="B8" s="127">
        <v>0.04</v>
      </c>
      <c r="C8" s="127">
        <v>8.072</v>
      </c>
      <c r="D8" s="127">
        <v>43.77</v>
      </c>
      <c r="E8" s="127">
        <v>72.73</v>
      </c>
      <c r="F8" s="127">
        <v>78.1</v>
      </c>
      <c r="G8" s="127">
        <v>77.64</v>
      </c>
      <c r="H8" s="127">
        <v>61.73</v>
      </c>
      <c r="I8" s="125">
        <v>66.79</v>
      </c>
    </row>
    <row r="9">
      <c r="A9" s="127">
        <v>0.0</v>
      </c>
      <c r="B9" s="127">
        <v>0.05</v>
      </c>
      <c r="C9" s="127">
        <v>8.086</v>
      </c>
      <c r="D9" s="127">
        <v>44.11</v>
      </c>
      <c r="E9" s="127">
        <v>72.85</v>
      </c>
      <c r="F9" s="127">
        <v>81.16</v>
      </c>
      <c r="G9" s="127">
        <v>77.86</v>
      </c>
      <c r="H9" s="127">
        <v>68.95</v>
      </c>
      <c r="I9" s="125">
        <v>68.99</v>
      </c>
    </row>
    <row r="10">
      <c r="A10" s="127">
        <v>0.01</v>
      </c>
      <c r="B10" s="127">
        <v>0.01</v>
      </c>
      <c r="C10" s="127">
        <v>8.359</v>
      </c>
      <c r="D10" s="127">
        <v>44.8</v>
      </c>
      <c r="E10" s="127">
        <v>73.27</v>
      </c>
      <c r="F10" s="127">
        <v>81.74</v>
      </c>
      <c r="G10" s="127">
        <v>77.2</v>
      </c>
      <c r="H10" s="127">
        <v>65.34</v>
      </c>
      <c r="I10" s="125">
        <v>68.47</v>
      </c>
    </row>
    <row r="11">
      <c r="A11" s="127">
        <v>0.01</v>
      </c>
      <c r="B11" s="127">
        <v>0.02</v>
      </c>
      <c r="C11" s="127">
        <v>8.226</v>
      </c>
      <c r="D11" s="127">
        <v>43.09</v>
      </c>
      <c r="E11" s="127">
        <v>71.68</v>
      </c>
      <c r="F11" s="127">
        <v>81.99</v>
      </c>
      <c r="G11" s="127">
        <v>76.93</v>
      </c>
      <c r="H11" s="127">
        <v>68.95</v>
      </c>
      <c r="I11" s="125">
        <v>68.53</v>
      </c>
    </row>
    <row r="12">
      <c r="A12" s="127">
        <v>0.01</v>
      </c>
      <c r="B12" s="127">
        <v>0.03</v>
      </c>
      <c r="C12" s="127">
        <v>8.146</v>
      </c>
      <c r="D12" s="127">
        <v>44.28</v>
      </c>
      <c r="E12" s="127">
        <v>71.63</v>
      </c>
      <c r="F12" s="127">
        <v>79.2</v>
      </c>
      <c r="G12" s="127">
        <v>77.69</v>
      </c>
      <c r="H12" s="127">
        <v>65.7</v>
      </c>
      <c r="I12" s="125">
        <v>67.7</v>
      </c>
    </row>
    <row r="13">
      <c r="A13" s="127">
        <v>0.01</v>
      </c>
      <c r="B13" s="127">
        <v>0.04</v>
      </c>
      <c r="C13" s="127">
        <v>8.101</v>
      </c>
      <c r="D13" s="127">
        <v>44.11</v>
      </c>
      <c r="E13" s="127">
        <v>73.06</v>
      </c>
      <c r="F13" s="127">
        <v>79.97</v>
      </c>
      <c r="G13" s="127">
        <v>78.07</v>
      </c>
      <c r="H13" s="127">
        <v>62.45</v>
      </c>
      <c r="I13" s="125">
        <v>67.53</v>
      </c>
    </row>
    <row r="14">
      <c r="A14" s="127">
        <v>0.01</v>
      </c>
      <c r="B14" s="127">
        <v>0.05</v>
      </c>
      <c r="C14" s="127">
        <v>8.086</v>
      </c>
      <c r="D14" s="127">
        <v>44.11</v>
      </c>
      <c r="E14" s="127">
        <v>72.9</v>
      </c>
      <c r="F14" s="127">
        <v>80.55</v>
      </c>
      <c r="G14" s="127">
        <v>77.69</v>
      </c>
      <c r="H14" s="127">
        <v>64.62</v>
      </c>
      <c r="I14" s="125">
        <v>67.97</v>
      </c>
    </row>
    <row r="15">
      <c r="A15" s="127">
        <v>0.02</v>
      </c>
      <c r="B15" s="127">
        <v>0.01</v>
      </c>
      <c r="C15" s="127">
        <v>8.352</v>
      </c>
      <c r="D15" s="127">
        <v>43.77</v>
      </c>
      <c r="E15" s="127">
        <v>73.19</v>
      </c>
      <c r="F15" s="127">
        <v>80.55</v>
      </c>
      <c r="G15" s="127">
        <v>76.66</v>
      </c>
      <c r="H15" s="127">
        <v>70.76</v>
      </c>
      <c r="I15" s="125">
        <v>68.99</v>
      </c>
    </row>
    <row r="16">
      <c r="A16" s="127">
        <v>0.02</v>
      </c>
      <c r="B16" s="127">
        <v>0.02</v>
      </c>
      <c r="C16" s="127">
        <v>8.215</v>
      </c>
      <c r="D16" s="127">
        <v>45.05</v>
      </c>
      <c r="E16" s="127">
        <v>72.56</v>
      </c>
      <c r="F16" s="127">
        <v>80.89</v>
      </c>
      <c r="G16" s="127">
        <v>76.82</v>
      </c>
      <c r="H16" s="127">
        <v>65.7</v>
      </c>
      <c r="I16" s="125">
        <v>68.2</v>
      </c>
    </row>
    <row r="17">
      <c r="A17" s="128">
        <v>0.02</v>
      </c>
      <c r="B17" s="128">
        <v>0.03</v>
      </c>
      <c r="C17" s="128">
        <v>8.148</v>
      </c>
      <c r="D17" s="128">
        <v>44.54</v>
      </c>
      <c r="E17" s="128">
        <v>72.64</v>
      </c>
      <c r="F17" s="128">
        <v>81.13</v>
      </c>
      <c r="G17" s="128">
        <v>77.15</v>
      </c>
      <c r="H17" s="128">
        <v>72.56</v>
      </c>
      <c r="I17" s="129">
        <v>69.61</v>
      </c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>
      <c r="A18" s="127">
        <v>0.02</v>
      </c>
      <c r="B18" s="127">
        <v>0.04</v>
      </c>
      <c r="C18" s="127">
        <v>8.094</v>
      </c>
      <c r="D18" s="127">
        <v>44.03</v>
      </c>
      <c r="E18" s="127">
        <v>72.73</v>
      </c>
      <c r="F18" s="127">
        <v>78.87</v>
      </c>
      <c r="G18" s="127">
        <v>77.42</v>
      </c>
      <c r="H18" s="127">
        <v>64.26</v>
      </c>
      <c r="I18" s="125">
        <v>67.46</v>
      </c>
    </row>
    <row r="19">
      <c r="A19" s="127">
        <v>0.02</v>
      </c>
      <c r="B19" s="127">
        <v>0.05</v>
      </c>
      <c r="C19" s="127">
        <v>8.081</v>
      </c>
      <c r="D19" s="127">
        <v>44.62</v>
      </c>
      <c r="E19" s="127">
        <v>73.19</v>
      </c>
      <c r="F19" s="127">
        <v>80.09</v>
      </c>
      <c r="G19" s="127">
        <v>77.53</v>
      </c>
      <c r="H19" s="127">
        <v>67.15</v>
      </c>
      <c r="I19" s="125">
        <v>68.52</v>
      </c>
    </row>
    <row r="20">
      <c r="A20" s="127">
        <v>0.03</v>
      </c>
      <c r="B20" s="127">
        <v>0.01</v>
      </c>
      <c r="C20" s="127">
        <v>8.417</v>
      </c>
      <c r="D20" s="127">
        <v>43.86</v>
      </c>
      <c r="E20" s="127">
        <v>72.31</v>
      </c>
      <c r="F20" s="127">
        <v>79.45</v>
      </c>
      <c r="G20" s="127">
        <v>77.2</v>
      </c>
      <c r="H20" s="127">
        <v>66.43</v>
      </c>
      <c r="I20" s="125">
        <v>67.85</v>
      </c>
    </row>
    <row r="21">
      <c r="A21" s="127">
        <v>0.03</v>
      </c>
      <c r="B21" s="127">
        <v>0.02</v>
      </c>
      <c r="C21" s="127">
        <v>8.253</v>
      </c>
      <c r="D21" s="127">
        <v>44.28</v>
      </c>
      <c r="E21" s="127">
        <v>73.15</v>
      </c>
      <c r="F21" s="127">
        <v>80.76</v>
      </c>
      <c r="G21" s="127">
        <v>76.99</v>
      </c>
      <c r="H21" s="127">
        <v>63.54</v>
      </c>
      <c r="I21" s="125">
        <v>67.74</v>
      </c>
    </row>
    <row r="22">
      <c r="A22" s="127">
        <v>0.03</v>
      </c>
      <c r="B22" s="127">
        <v>0.03</v>
      </c>
      <c r="C22" s="127">
        <v>8.169</v>
      </c>
      <c r="D22" s="127">
        <v>44.11</v>
      </c>
      <c r="E22" s="127">
        <v>72.39</v>
      </c>
      <c r="F22" s="127">
        <v>78.96</v>
      </c>
      <c r="G22" s="127">
        <v>78.07</v>
      </c>
      <c r="H22" s="127">
        <v>66.06</v>
      </c>
      <c r="I22" s="125">
        <v>67.92</v>
      </c>
    </row>
    <row r="23">
      <c r="A23" s="127">
        <v>0.03</v>
      </c>
      <c r="B23" s="127">
        <v>0.04</v>
      </c>
      <c r="C23" s="127">
        <v>8.098</v>
      </c>
      <c r="D23" s="127">
        <v>43.94</v>
      </c>
      <c r="E23" s="127">
        <v>71.59</v>
      </c>
      <c r="F23" s="127">
        <v>80.09</v>
      </c>
      <c r="G23" s="127">
        <v>77.26</v>
      </c>
      <c r="H23" s="127">
        <v>60.65</v>
      </c>
      <c r="I23" s="125">
        <v>66.71</v>
      </c>
    </row>
    <row r="24">
      <c r="A24" s="127">
        <v>0.03</v>
      </c>
      <c r="B24" s="127">
        <v>0.05</v>
      </c>
      <c r="C24" s="127">
        <v>8.075</v>
      </c>
      <c r="D24" s="127">
        <v>44.62</v>
      </c>
      <c r="E24" s="127">
        <v>73.48</v>
      </c>
      <c r="F24" s="127">
        <v>80.28</v>
      </c>
      <c r="G24" s="127">
        <v>77.64</v>
      </c>
      <c r="H24" s="127">
        <v>64.62</v>
      </c>
      <c r="I24" s="125">
        <v>68.13</v>
      </c>
    </row>
    <row r="25">
      <c r="A25" s="127">
        <v>0.04</v>
      </c>
      <c r="B25" s="127">
        <v>0.01</v>
      </c>
      <c r="C25" s="127">
        <v>8.397</v>
      </c>
      <c r="D25" s="127">
        <v>43.86</v>
      </c>
      <c r="E25" s="127">
        <v>72.47</v>
      </c>
      <c r="F25" s="127">
        <v>81.22</v>
      </c>
      <c r="G25" s="127">
        <v>77.42</v>
      </c>
      <c r="H25" s="127">
        <v>69.31</v>
      </c>
      <c r="I25" s="125">
        <v>68.86</v>
      </c>
    </row>
    <row r="26">
      <c r="A26" s="127">
        <v>0.04</v>
      </c>
      <c r="B26" s="127">
        <v>0.02</v>
      </c>
      <c r="C26" s="127">
        <v>8.256</v>
      </c>
      <c r="D26" s="127">
        <v>43.34</v>
      </c>
      <c r="E26" s="127">
        <v>73.44</v>
      </c>
      <c r="F26" s="127">
        <v>81.35</v>
      </c>
      <c r="G26" s="127">
        <v>76.66</v>
      </c>
      <c r="H26" s="127">
        <v>67.51</v>
      </c>
      <c r="I26" s="125">
        <v>68.46</v>
      </c>
    </row>
    <row r="27">
      <c r="A27" s="127">
        <v>0.04</v>
      </c>
      <c r="B27" s="127">
        <v>0.03</v>
      </c>
      <c r="C27" s="127">
        <v>8.185</v>
      </c>
      <c r="D27" s="127">
        <v>43.77</v>
      </c>
      <c r="E27" s="127">
        <v>71.68</v>
      </c>
      <c r="F27" s="127">
        <v>80.76</v>
      </c>
      <c r="G27" s="127">
        <v>77.31</v>
      </c>
      <c r="H27" s="127">
        <v>68.59</v>
      </c>
      <c r="I27" s="125">
        <v>68.42</v>
      </c>
    </row>
    <row r="28">
      <c r="A28" s="127">
        <v>0.04</v>
      </c>
      <c r="B28" s="127">
        <v>0.04</v>
      </c>
      <c r="C28" s="127">
        <v>8.097</v>
      </c>
      <c r="D28" s="127">
        <v>43.17</v>
      </c>
      <c r="E28" s="127">
        <v>70.79</v>
      </c>
      <c r="F28" s="127">
        <v>79.33</v>
      </c>
      <c r="G28" s="127">
        <v>77.09</v>
      </c>
      <c r="H28" s="127">
        <v>62.82</v>
      </c>
      <c r="I28" s="125">
        <v>66.64</v>
      </c>
    </row>
    <row r="29">
      <c r="A29" s="127">
        <v>0.04</v>
      </c>
      <c r="B29" s="127">
        <v>0.05</v>
      </c>
      <c r="C29" s="127">
        <v>8.086</v>
      </c>
      <c r="D29" s="127">
        <v>44.45</v>
      </c>
      <c r="E29" s="127">
        <v>73.99</v>
      </c>
      <c r="F29" s="127">
        <v>79.17</v>
      </c>
      <c r="G29" s="127">
        <v>77.69</v>
      </c>
      <c r="H29" s="127">
        <v>65.7</v>
      </c>
      <c r="I29" s="125">
        <v>68.2</v>
      </c>
    </row>
    <row r="30">
      <c r="A30" s="127">
        <v>0.05</v>
      </c>
      <c r="B30" s="127">
        <v>0.01</v>
      </c>
      <c r="C30" s="127">
        <v>8.404</v>
      </c>
      <c r="D30" s="127">
        <v>43.86</v>
      </c>
      <c r="E30" s="127">
        <v>73.06</v>
      </c>
      <c r="F30" s="127">
        <v>81.19</v>
      </c>
      <c r="G30" s="127">
        <v>77.58</v>
      </c>
      <c r="H30" s="127">
        <v>64.26</v>
      </c>
      <c r="I30" s="125">
        <v>67.99</v>
      </c>
    </row>
    <row r="31">
      <c r="A31" s="127">
        <v>0.05</v>
      </c>
      <c r="B31" s="127">
        <v>0.02</v>
      </c>
      <c r="C31" s="127">
        <v>8.263</v>
      </c>
      <c r="D31" s="127">
        <v>43.77</v>
      </c>
      <c r="E31" s="127">
        <v>72.52</v>
      </c>
      <c r="F31" s="127">
        <v>80.73</v>
      </c>
      <c r="G31" s="127">
        <v>77.2</v>
      </c>
      <c r="H31" s="127">
        <v>62.82</v>
      </c>
      <c r="I31" s="125">
        <v>67.41</v>
      </c>
    </row>
    <row r="32">
      <c r="A32" s="127">
        <v>0.05</v>
      </c>
      <c r="B32" s="127">
        <v>0.03</v>
      </c>
      <c r="C32" s="127">
        <v>8.166</v>
      </c>
      <c r="D32" s="127">
        <v>44.2</v>
      </c>
      <c r="E32" s="127">
        <v>72.18</v>
      </c>
      <c r="F32" s="127">
        <v>80.7</v>
      </c>
      <c r="G32" s="127">
        <v>77.69</v>
      </c>
      <c r="H32" s="127">
        <v>71.84</v>
      </c>
      <c r="I32" s="125">
        <v>69.32</v>
      </c>
    </row>
    <row r="33">
      <c r="A33" s="127">
        <v>0.05</v>
      </c>
      <c r="B33" s="127">
        <v>0.04</v>
      </c>
      <c r="C33" s="127">
        <v>8.122</v>
      </c>
      <c r="D33" s="127">
        <v>44.45</v>
      </c>
      <c r="E33" s="127">
        <v>73.44</v>
      </c>
      <c r="F33" s="127">
        <v>78.78</v>
      </c>
      <c r="G33" s="127">
        <v>77.26</v>
      </c>
      <c r="H33" s="127">
        <v>61.01</v>
      </c>
      <c r="I33" s="125">
        <v>66.99</v>
      </c>
    </row>
    <row r="34">
      <c r="A34" s="127">
        <v>0.05</v>
      </c>
      <c r="B34" s="127">
        <v>0.05</v>
      </c>
      <c r="C34" s="127">
        <v>8.1</v>
      </c>
      <c r="D34" s="127">
        <v>43.77</v>
      </c>
      <c r="E34" s="127">
        <v>73.36</v>
      </c>
      <c r="F34" s="127">
        <v>79.88</v>
      </c>
      <c r="G34" s="127">
        <v>77.53</v>
      </c>
      <c r="H34" s="127">
        <v>67.87</v>
      </c>
      <c r="I34" s="125">
        <v>68.48</v>
      </c>
    </row>
    <row r="35">
      <c r="A35" s="14"/>
      <c r="B35" s="14"/>
      <c r="C35" s="14"/>
      <c r="D35" s="14"/>
      <c r="E35" s="14"/>
      <c r="F35" s="14"/>
      <c r="G35" s="14"/>
      <c r="H35" s="14"/>
      <c r="I35" s="14"/>
    </row>
    <row r="36">
      <c r="A36" s="14"/>
      <c r="B36" s="14"/>
      <c r="C36" s="14"/>
      <c r="D36" s="14"/>
      <c r="E36" s="14"/>
      <c r="F36" s="14"/>
      <c r="G36" s="14"/>
      <c r="H36" s="14"/>
      <c r="I36" s="14"/>
    </row>
    <row r="37">
      <c r="A37" s="124" t="s">
        <v>202</v>
      </c>
    </row>
    <row r="38">
      <c r="A38" s="125" t="s">
        <v>160</v>
      </c>
      <c r="B38" s="125" t="s">
        <v>161</v>
      </c>
      <c r="C38" s="125" t="s">
        <v>197</v>
      </c>
      <c r="D38" s="125" t="s">
        <v>4</v>
      </c>
      <c r="E38" s="125" t="s">
        <v>5</v>
      </c>
      <c r="F38" s="125" t="s">
        <v>6</v>
      </c>
      <c r="G38" s="125" t="s">
        <v>10</v>
      </c>
      <c r="H38" s="125" t="s">
        <v>11</v>
      </c>
      <c r="I38" s="125" t="s">
        <v>198</v>
      </c>
    </row>
    <row r="39">
      <c r="A39" s="126" t="s">
        <v>199</v>
      </c>
      <c r="B39" s="127" t="s">
        <v>200</v>
      </c>
      <c r="C39" s="127">
        <v>6.084</v>
      </c>
      <c r="D39" s="127">
        <v>47.7</v>
      </c>
      <c r="E39" s="127">
        <v>80.43</v>
      </c>
      <c r="F39" s="127">
        <v>84.62</v>
      </c>
      <c r="G39" s="127">
        <v>78.84</v>
      </c>
      <c r="H39" s="127">
        <v>81.59</v>
      </c>
      <c r="I39" s="125">
        <v>74.63</v>
      </c>
    </row>
    <row r="40">
      <c r="A40" s="126" t="s">
        <v>201</v>
      </c>
      <c r="B40" s="127" t="s">
        <v>200</v>
      </c>
      <c r="C40" s="127">
        <v>7.232</v>
      </c>
      <c r="D40" s="127">
        <v>50.26</v>
      </c>
      <c r="E40" s="127">
        <v>80.05</v>
      </c>
      <c r="F40" s="127">
        <v>82.69</v>
      </c>
      <c r="G40" s="127">
        <v>77.48</v>
      </c>
      <c r="H40" s="127">
        <v>75.09</v>
      </c>
      <c r="I40" s="125">
        <v>73.11</v>
      </c>
    </row>
    <row r="41">
      <c r="A41" s="127">
        <v>0.0</v>
      </c>
      <c r="B41" s="127">
        <v>0.01</v>
      </c>
      <c r="C41" s="127">
        <v>7.226</v>
      </c>
      <c r="D41" s="127">
        <v>49.06</v>
      </c>
      <c r="E41" s="127">
        <v>80.18</v>
      </c>
      <c r="F41" s="127">
        <v>82.54</v>
      </c>
      <c r="G41" s="127">
        <v>77.58</v>
      </c>
      <c r="H41" s="127">
        <v>77.98</v>
      </c>
      <c r="I41" s="125">
        <v>73.47</v>
      </c>
    </row>
    <row r="42">
      <c r="A42" s="127">
        <v>0.0</v>
      </c>
      <c r="B42" s="127">
        <v>0.02</v>
      </c>
      <c r="C42" s="127">
        <v>7.229</v>
      </c>
      <c r="D42" s="127">
        <v>49.91</v>
      </c>
      <c r="E42" s="127">
        <v>80.26</v>
      </c>
      <c r="F42" s="127">
        <v>82.72</v>
      </c>
      <c r="G42" s="127">
        <v>77.37</v>
      </c>
      <c r="H42" s="127">
        <v>76.17</v>
      </c>
      <c r="I42" s="125">
        <v>73.29</v>
      </c>
    </row>
    <row r="43">
      <c r="A43" s="127">
        <v>0.0</v>
      </c>
      <c r="B43" s="127">
        <v>0.03</v>
      </c>
      <c r="C43" s="127">
        <v>7.22</v>
      </c>
      <c r="D43" s="127">
        <v>49.49</v>
      </c>
      <c r="E43" s="127">
        <v>80.39</v>
      </c>
      <c r="F43" s="127">
        <v>83.06</v>
      </c>
      <c r="G43" s="127">
        <v>76.61</v>
      </c>
      <c r="H43" s="127">
        <v>77.26</v>
      </c>
      <c r="I43" s="125">
        <v>73.36</v>
      </c>
    </row>
    <row r="44">
      <c r="A44" s="127">
        <v>0.0</v>
      </c>
      <c r="B44" s="127">
        <v>0.04</v>
      </c>
      <c r="C44" s="127">
        <v>7.225</v>
      </c>
      <c r="D44" s="127">
        <v>49.83</v>
      </c>
      <c r="E44" s="127">
        <v>80.39</v>
      </c>
      <c r="F44" s="127">
        <v>82.78</v>
      </c>
      <c r="G44" s="127">
        <v>77.75</v>
      </c>
      <c r="H44" s="127">
        <v>75.81</v>
      </c>
      <c r="I44" s="125">
        <v>73.31</v>
      </c>
    </row>
    <row r="45">
      <c r="A45" s="127">
        <v>0.0</v>
      </c>
      <c r="B45" s="127">
        <v>0.05</v>
      </c>
      <c r="C45" s="127">
        <v>7.233</v>
      </c>
      <c r="D45" s="127">
        <v>50.17</v>
      </c>
      <c r="E45" s="127">
        <v>80.01</v>
      </c>
      <c r="F45" s="127">
        <v>82.35</v>
      </c>
      <c r="G45" s="127">
        <v>77.75</v>
      </c>
      <c r="H45" s="127">
        <v>77.26</v>
      </c>
      <c r="I45" s="125">
        <v>73.51</v>
      </c>
    </row>
    <row r="46">
      <c r="A46" s="127">
        <v>0.01</v>
      </c>
      <c r="B46" s="127">
        <v>0.01</v>
      </c>
      <c r="C46" s="127">
        <v>7.229</v>
      </c>
      <c r="D46" s="127">
        <v>50.17</v>
      </c>
      <c r="E46" s="127">
        <v>80.3</v>
      </c>
      <c r="F46" s="127">
        <v>82.63</v>
      </c>
      <c r="G46" s="127">
        <v>77.58</v>
      </c>
      <c r="H46" s="127">
        <v>76.17</v>
      </c>
      <c r="I46" s="125">
        <v>73.37</v>
      </c>
    </row>
    <row r="47">
      <c r="A47" s="127">
        <v>0.01</v>
      </c>
      <c r="B47" s="127">
        <v>0.02</v>
      </c>
      <c r="C47" s="127">
        <v>7.22</v>
      </c>
      <c r="D47" s="127">
        <v>49.83</v>
      </c>
      <c r="E47" s="127">
        <v>80.6</v>
      </c>
      <c r="F47" s="127">
        <v>82.35</v>
      </c>
      <c r="G47" s="127">
        <v>77.69</v>
      </c>
      <c r="H47" s="127">
        <v>77.98</v>
      </c>
      <c r="I47" s="125">
        <v>73.69</v>
      </c>
    </row>
    <row r="48">
      <c r="A48" s="127">
        <v>0.01</v>
      </c>
      <c r="B48" s="127">
        <v>0.03</v>
      </c>
      <c r="C48" s="127">
        <v>7.221</v>
      </c>
      <c r="D48" s="127">
        <v>50.94</v>
      </c>
      <c r="E48" s="127">
        <v>80.35</v>
      </c>
      <c r="F48" s="127">
        <v>82.75</v>
      </c>
      <c r="G48" s="127">
        <v>77.42</v>
      </c>
      <c r="H48" s="127">
        <v>76.53</v>
      </c>
      <c r="I48" s="125">
        <v>73.6</v>
      </c>
    </row>
    <row r="49">
      <c r="A49" s="127">
        <v>0.01</v>
      </c>
      <c r="B49" s="127">
        <v>0.04</v>
      </c>
      <c r="C49" s="127">
        <v>7.22</v>
      </c>
      <c r="D49" s="127">
        <v>48.46</v>
      </c>
      <c r="E49" s="127">
        <v>80.18</v>
      </c>
      <c r="F49" s="127">
        <v>82.75</v>
      </c>
      <c r="G49" s="127">
        <v>77.42</v>
      </c>
      <c r="H49" s="127">
        <v>76.9</v>
      </c>
      <c r="I49" s="125">
        <v>73.14</v>
      </c>
    </row>
    <row r="50">
      <c r="A50" s="127">
        <v>0.01</v>
      </c>
      <c r="B50" s="127">
        <v>0.05</v>
      </c>
      <c r="C50" s="127">
        <v>7.237</v>
      </c>
      <c r="D50" s="127">
        <v>49.57</v>
      </c>
      <c r="E50" s="127">
        <v>80.09</v>
      </c>
      <c r="F50" s="127">
        <v>82.42</v>
      </c>
      <c r="G50" s="127">
        <v>77.09</v>
      </c>
      <c r="H50" s="127">
        <v>76.9</v>
      </c>
      <c r="I50" s="125">
        <v>73.21</v>
      </c>
    </row>
    <row r="51">
      <c r="A51" s="127">
        <v>0.02</v>
      </c>
      <c r="B51" s="127">
        <v>0.01</v>
      </c>
      <c r="C51" s="127">
        <v>7.224</v>
      </c>
      <c r="D51" s="127">
        <v>50.26</v>
      </c>
      <c r="E51" s="127">
        <v>80.22</v>
      </c>
      <c r="F51" s="127">
        <v>82.97</v>
      </c>
      <c r="G51" s="127">
        <v>78.07</v>
      </c>
      <c r="H51" s="127">
        <v>76.17</v>
      </c>
      <c r="I51" s="125">
        <v>73.54</v>
      </c>
    </row>
    <row r="52">
      <c r="A52" s="127">
        <v>0.02</v>
      </c>
      <c r="B52" s="127">
        <v>0.02</v>
      </c>
      <c r="C52" s="127">
        <v>7.231</v>
      </c>
      <c r="D52" s="127">
        <v>49.83</v>
      </c>
      <c r="E52" s="127">
        <v>80.01</v>
      </c>
      <c r="F52" s="127">
        <v>83.18</v>
      </c>
      <c r="G52" s="127">
        <v>78.67</v>
      </c>
      <c r="H52" s="127">
        <v>75.45</v>
      </c>
      <c r="I52" s="125">
        <v>73.43</v>
      </c>
    </row>
    <row r="53">
      <c r="A53" s="127">
        <v>0.02</v>
      </c>
      <c r="B53" s="127">
        <v>0.03</v>
      </c>
      <c r="C53" s="127">
        <v>7.222</v>
      </c>
      <c r="D53" s="127">
        <v>50.34</v>
      </c>
      <c r="E53" s="127">
        <v>80.85</v>
      </c>
      <c r="F53" s="127">
        <v>82.23</v>
      </c>
      <c r="G53" s="127">
        <v>77.26</v>
      </c>
      <c r="H53" s="127">
        <v>78.34</v>
      </c>
      <c r="I53" s="125">
        <v>73.8</v>
      </c>
    </row>
    <row r="54">
      <c r="A54" s="128">
        <v>0.02</v>
      </c>
      <c r="B54" s="128">
        <v>0.04</v>
      </c>
      <c r="C54" s="128">
        <v>7.226</v>
      </c>
      <c r="D54" s="128">
        <v>49.83</v>
      </c>
      <c r="E54" s="128">
        <v>80.51</v>
      </c>
      <c r="F54" s="128">
        <v>82.84</v>
      </c>
      <c r="G54" s="128">
        <v>78.18</v>
      </c>
      <c r="H54" s="128">
        <v>77.98</v>
      </c>
      <c r="I54" s="129">
        <v>73.87</v>
      </c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>
      <c r="A55" s="127">
        <v>0.02</v>
      </c>
      <c r="B55" s="127">
        <v>0.05</v>
      </c>
      <c r="C55" s="127">
        <v>7.225</v>
      </c>
      <c r="D55" s="127">
        <v>48.63</v>
      </c>
      <c r="E55" s="127">
        <v>80.13</v>
      </c>
      <c r="F55" s="127">
        <v>82.05</v>
      </c>
      <c r="G55" s="127">
        <v>78.29</v>
      </c>
      <c r="H55" s="127">
        <v>75.09</v>
      </c>
      <c r="I55" s="125">
        <v>72.84</v>
      </c>
    </row>
    <row r="56">
      <c r="A56" s="127">
        <v>0.03</v>
      </c>
      <c r="B56" s="127">
        <v>0.01</v>
      </c>
      <c r="C56" s="127">
        <v>7.231</v>
      </c>
      <c r="D56" s="127">
        <v>50.0</v>
      </c>
      <c r="E56" s="127">
        <v>80.43</v>
      </c>
      <c r="F56" s="127">
        <v>82.42</v>
      </c>
      <c r="G56" s="127">
        <v>78.18</v>
      </c>
      <c r="H56" s="127">
        <v>76.53</v>
      </c>
      <c r="I56" s="125">
        <v>73.51</v>
      </c>
    </row>
    <row r="57">
      <c r="A57" s="127">
        <v>0.03</v>
      </c>
      <c r="B57" s="127">
        <v>0.02</v>
      </c>
      <c r="C57" s="127">
        <v>7.231</v>
      </c>
      <c r="D57" s="127">
        <v>50.68</v>
      </c>
      <c r="E57" s="127">
        <v>80.26</v>
      </c>
      <c r="F57" s="127">
        <v>82.72</v>
      </c>
      <c r="G57" s="127">
        <v>77.31</v>
      </c>
      <c r="H57" s="127">
        <v>76.9</v>
      </c>
      <c r="I57" s="125">
        <v>73.57</v>
      </c>
    </row>
    <row r="58">
      <c r="A58" s="127">
        <v>0.03</v>
      </c>
      <c r="B58" s="127">
        <v>0.03</v>
      </c>
      <c r="C58" s="127">
        <v>7.224</v>
      </c>
      <c r="D58" s="127">
        <v>50.17</v>
      </c>
      <c r="E58" s="127">
        <v>80.51</v>
      </c>
      <c r="F58" s="127">
        <v>82.75</v>
      </c>
      <c r="G58" s="127">
        <v>77.37</v>
      </c>
      <c r="H58" s="127">
        <v>77.26</v>
      </c>
      <c r="I58" s="125">
        <v>73.61</v>
      </c>
    </row>
    <row r="59">
      <c r="A59" s="127">
        <v>0.03</v>
      </c>
      <c r="B59" s="127">
        <v>0.04</v>
      </c>
      <c r="C59" s="127">
        <v>7.225</v>
      </c>
      <c r="D59" s="127">
        <v>50.09</v>
      </c>
      <c r="E59" s="127">
        <v>80.05</v>
      </c>
      <c r="F59" s="127">
        <v>82.32</v>
      </c>
      <c r="G59" s="127">
        <v>77.48</v>
      </c>
      <c r="H59" s="127">
        <v>75.81</v>
      </c>
      <c r="I59" s="125">
        <v>73.15</v>
      </c>
    </row>
    <row r="60">
      <c r="A60" s="127">
        <v>0.03</v>
      </c>
      <c r="B60" s="127">
        <v>0.05</v>
      </c>
      <c r="C60" s="127">
        <v>7.236</v>
      </c>
      <c r="D60" s="127">
        <v>49.06</v>
      </c>
      <c r="E60" s="127">
        <v>80.01</v>
      </c>
      <c r="F60" s="127">
        <v>82.54</v>
      </c>
      <c r="G60" s="127">
        <v>77.64</v>
      </c>
      <c r="H60" s="127">
        <v>74.01</v>
      </c>
      <c r="I60" s="125">
        <v>72.65</v>
      </c>
    </row>
    <row r="61">
      <c r="A61" s="127">
        <v>0.04</v>
      </c>
      <c r="B61" s="127">
        <v>0.01</v>
      </c>
      <c r="C61" s="127">
        <v>7.23</v>
      </c>
      <c r="D61" s="127">
        <v>50.26</v>
      </c>
      <c r="E61" s="127">
        <v>80.56</v>
      </c>
      <c r="F61" s="127">
        <v>82.45</v>
      </c>
      <c r="G61" s="127">
        <v>77.37</v>
      </c>
      <c r="H61" s="127">
        <v>76.9</v>
      </c>
      <c r="I61" s="125">
        <v>73.5</v>
      </c>
    </row>
    <row r="62">
      <c r="A62" s="127">
        <v>0.04</v>
      </c>
      <c r="B62" s="127">
        <v>0.02</v>
      </c>
      <c r="C62" s="131" t="s">
        <v>200</v>
      </c>
      <c r="D62" s="131" t="s">
        <v>200</v>
      </c>
      <c r="E62" s="131" t="s">
        <v>200</v>
      </c>
      <c r="F62" s="131" t="s">
        <v>200</v>
      </c>
      <c r="G62" s="131" t="s">
        <v>200</v>
      </c>
      <c r="H62" s="131" t="s">
        <v>200</v>
      </c>
      <c r="I62" s="131" t="s">
        <v>200</v>
      </c>
    </row>
    <row r="63">
      <c r="A63" s="127">
        <v>0.04</v>
      </c>
      <c r="B63" s="127">
        <v>0.03</v>
      </c>
      <c r="C63" s="131" t="s">
        <v>200</v>
      </c>
      <c r="D63" s="131" t="s">
        <v>200</v>
      </c>
      <c r="E63" s="131" t="s">
        <v>200</v>
      </c>
      <c r="F63" s="131" t="s">
        <v>200</v>
      </c>
      <c r="G63" s="131" t="s">
        <v>200</v>
      </c>
      <c r="H63" s="131" t="s">
        <v>200</v>
      </c>
      <c r="I63" s="131" t="s">
        <v>200</v>
      </c>
    </row>
    <row r="64">
      <c r="A64" s="127">
        <v>0.04</v>
      </c>
      <c r="B64" s="127">
        <v>0.04</v>
      </c>
      <c r="C64" s="131" t="s">
        <v>200</v>
      </c>
      <c r="D64" s="131" t="s">
        <v>200</v>
      </c>
      <c r="E64" s="131" t="s">
        <v>200</v>
      </c>
      <c r="F64" s="131" t="s">
        <v>200</v>
      </c>
      <c r="G64" s="131" t="s">
        <v>200</v>
      </c>
      <c r="H64" s="131" t="s">
        <v>200</v>
      </c>
      <c r="I64" s="131" t="s">
        <v>200</v>
      </c>
    </row>
    <row r="65">
      <c r="A65" s="127">
        <v>0.04</v>
      </c>
      <c r="B65" s="127">
        <v>0.05</v>
      </c>
      <c r="C65" s="131" t="s">
        <v>200</v>
      </c>
      <c r="D65" s="131" t="s">
        <v>200</v>
      </c>
      <c r="E65" s="131" t="s">
        <v>200</v>
      </c>
      <c r="F65" s="131" t="s">
        <v>200</v>
      </c>
      <c r="G65" s="131" t="s">
        <v>200</v>
      </c>
      <c r="H65" s="131" t="s">
        <v>200</v>
      </c>
      <c r="I65" s="131" t="s">
        <v>200</v>
      </c>
    </row>
    <row r="66">
      <c r="A66" s="127">
        <v>0.05</v>
      </c>
      <c r="B66" s="127">
        <v>0.01</v>
      </c>
      <c r="C66" s="131" t="s">
        <v>200</v>
      </c>
      <c r="D66" s="131" t="s">
        <v>200</v>
      </c>
      <c r="E66" s="131" t="s">
        <v>200</v>
      </c>
      <c r="F66" s="131" t="s">
        <v>200</v>
      </c>
      <c r="G66" s="131" t="s">
        <v>200</v>
      </c>
      <c r="H66" s="131" t="s">
        <v>200</v>
      </c>
      <c r="I66" s="131" t="s">
        <v>200</v>
      </c>
    </row>
    <row r="67">
      <c r="A67" s="127">
        <v>0.05</v>
      </c>
      <c r="B67" s="127">
        <v>0.02</v>
      </c>
      <c r="C67" s="131" t="s">
        <v>200</v>
      </c>
      <c r="D67" s="131" t="s">
        <v>200</v>
      </c>
      <c r="E67" s="131" t="s">
        <v>200</v>
      </c>
      <c r="F67" s="131" t="s">
        <v>200</v>
      </c>
      <c r="G67" s="131" t="s">
        <v>200</v>
      </c>
      <c r="H67" s="131" t="s">
        <v>200</v>
      </c>
      <c r="I67" s="131" t="s">
        <v>200</v>
      </c>
    </row>
    <row r="68">
      <c r="A68" s="127">
        <v>0.05</v>
      </c>
      <c r="B68" s="127">
        <v>0.03</v>
      </c>
      <c r="C68" s="131" t="s">
        <v>200</v>
      </c>
      <c r="D68" s="131" t="s">
        <v>200</v>
      </c>
      <c r="E68" s="131" t="s">
        <v>200</v>
      </c>
      <c r="F68" s="131" t="s">
        <v>200</v>
      </c>
      <c r="G68" s="131" t="s">
        <v>200</v>
      </c>
      <c r="H68" s="131" t="s">
        <v>200</v>
      </c>
      <c r="I68" s="131" t="s">
        <v>200</v>
      </c>
    </row>
    <row r="69">
      <c r="A69" s="127">
        <v>0.05</v>
      </c>
      <c r="B69" s="127">
        <v>0.04</v>
      </c>
      <c r="C69" s="131" t="s">
        <v>200</v>
      </c>
      <c r="D69" s="131" t="s">
        <v>200</v>
      </c>
      <c r="E69" s="131" t="s">
        <v>200</v>
      </c>
      <c r="F69" s="131" t="s">
        <v>200</v>
      </c>
      <c r="G69" s="131" t="s">
        <v>200</v>
      </c>
      <c r="H69" s="131" t="s">
        <v>200</v>
      </c>
      <c r="I69" s="131" t="s">
        <v>200</v>
      </c>
    </row>
    <row r="70">
      <c r="A70" s="127">
        <v>0.05</v>
      </c>
      <c r="B70" s="127">
        <v>0.05</v>
      </c>
      <c r="C70" s="131" t="s">
        <v>200</v>
      </c>
      <c r="D70" s="131" t="s">
        <v>200</v>
      </c>
      <c r="E70" s="131" t="s">
        <v>200</v>
      </c>
      <c r="F70" s="131" t="s">
        <v>200</v>
      </c>
      <c r="G70" s="131" t="s">
        <v>200</v>
      </c>
      <c r="H70" s="131" t="s">
        <v>200</v>
      </c>
      <c r="I70" s="131" t="s">
        <v>200</v>
      </c>
    </row>
    <row r="71">
      <c r="A71" s="14"/>
      <c r="B71" s="14"/>
      <c r="C71" s="14"/>
      <c r="D71" s="14"/>
      <c r="E71" s="14"/>
      <c r="F71" s="14"/>
      <c r="G71" s="14"/>
      <c r="H71" s="14"/>
      <c r="I71" s="14"/>
    </row>
    <row r="72">
      <c r="A72" s="14"/>
      <c r="B72" s="14"/>
      <c r="C72" s="14"/>
      <c r="D72" s="14"/>
      <c r="E72" s="14"/>
      <c r="F72" s="14"/>
      <c r="G72" s="14"/>
      <c r="H72" s="14"/>
      <c r="I72" s="14"/>
    </row>
    <row r="73">
      <c r="A73" s="124" t="s">
        <v>203</v>
      </c>
    </row>
    <row r="74">
      <c r="A74" s="125" t="s">
        <v>160</v>
      </c>
      <c r="B74" s="125" t="s">
        <v>161</v>
      </c>
      <c r="C74" s="125" t="s">
        <v>197</v>
      </c>
      <c r="D74" s="125" t="s">
        <v>4</v>
      </c>
      <c r="E74" s="125" t="s">
        <v>5</v>
      </c>
      <c r="F74" s="125" t="s">
        <v>6</v>
      </c>
      <c r="G74" s="125" t="s">
        <v>10</v>
      </c>
      <c r="H74" s="125" t="s">
        <v>11</v>
      </c>
      <c r="I74" s="125" t="s">
        <v>198</v>
      </c>
    </row>
    <row r="75">
      <c r="A75" s="126" t="s">
        <v>199</v>
      </c>
      <c r="B75" s="127" t="s">
        <v>200</v>
      </c>
      <c r="C75" s="127">
        <v>5.522</v>
      </c>
      <c r="D75" s="127">
        <v>51.19</v>
      </c>
      <c r="E75" s="127">
        <v>81.44</v>
      </c>
      <c r="F75" s="127">
        <v>82.11</v>
      </c>
      <c r="G75" s="127">
        <v>80.2</v>
      </c>
      <c r="H75" s="127">
        <v>69.68</v>
      </c>
      <c r="I75" s="125">
        <v>72.92</v>
      </c>
    </row>
    <row r="76">
      <c r="A76" s="126" t="s">
        <v>201</v>
      </c>
      <c r="B76" s="127" t="s">
        <v>200</v>
      </c>
      <c r="C76" s="127">
        <v>8.076</v>
      </c>
      <c r="D76" s="127">
        <v>41.47</v>
      </c>
      <c r="E76" s="127">
        <v>74.49</v>
      </c>
      <c r="F76" s="127">
        <v>71.56</v>
      </c>
      <c r="G76" s="127">
        <v>75.68</v>
      </c>
      <c r="H76" s="127">
        <v>62.45</v>
      </c>
      <c r="I76" s="125">
        <v>65.13</v>
      </c>
    </row>
    <row r="77">
      <c r="A77" s="127">
        <v>0.0</v>
      </c>
      <c r="B77" s="127">
        <v>0.01</v>
      </c>
      <c r="C77" s="127">
        <v>7.885</v>
      </c>
      <c r="D77" s="127">
        <v>40.7</v>
      </c>
      <c r="E77" s="127">
        <v>75.76</v>
      </c>
      <c r="F77" s="127">
        <v>68.59</v>
      </c>
      <c r="G77" s="127">
        <v>76.17</v>
      </c>
      <c r="H77" s="127">
        <v>59.93</v>
      </c>
      <c r="I77" s="125">
        <v>64.23</v>
      </c>
    </row>
    <row r="78">
      <c r="A78" s="129">
        <v>0.0</v>
      </c>
      <c r="B78" s="129">
        <v>0.02</v>
      </c>
      <c r="C78" s="129">
        <v>7.869</v>
      </c>
      <c r="D78" s="129">
        <v>40.36</v>
      </c>
      <c r="E78" s="129">
        <v>74.33</v>
      </c>
      <c r="F78" s="129">
        <v>73.43</v>
      </c>
      <c r="G78" s="129">
        <v>76.17</v>
      </c>
      <c r="H78" s="129">
        <v>63.9</v>
      </c>
      <c r="I78" s="129">
        <v>65.64</v>
      </c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</row>
    <row r="79">
      <c r="A79" s="127">
        <v>0.0</v>
      </c>
      <c r="B79" s="127">
        <v>0.03</v>
      </c>
      <c r="C79" s="127">
        <v>7.859</v>
      </c>
      <c r="D79" s="127">
        <v>41.13</v>
      </c>
      <c r="E79" s="127">
        <v>74.66</v>
      </c>
      <c r="F79" s="127">
        <v>70.37</v>
      </c>
      <c r="G79" s="127">
        <v>76.17</v>
      </c>
      <c r="H79" s="127">
        <v>58.84</v>
      </c>
      <c r="I79" s="125">
        <v>64.23</v>
      </c>
    </row>
    <row r="80">
      <c r="A80" s="127">
        <v>0.0</v>
      </c>
      <c r="B80" s="127">
        <v>0.04</v>
      </c>
      <c r="C80" s="127">
        <v>7.879</v>
      </c>
      <c r="D80" s="127">
        <v>40.96</v>
      </c>
      <c r="E80" s="127">
        <v>74.12</v>
      </c>
      <c r="F80" s="127">
        <v>72.32</v>
      </c>
      <c r="G80" s="127">
        <v>76.17</v>
      </c>
      <c r="H80" s="127">
        <v>61.73</v>
      </c>
      <c r="I80" s="125">
        <v>65.06</v>
      </c>
    </row>
    <row r="81">
      <c r="A81" s="127">
        <v>0.0</v>
      </c>
      <c r="B81" s="127">
        <v>0.05</v>
      </c>
      <c r="C81" s="127">
        <v>7.875</v>
      </c>
      <c r="D81" s="127">
        <v>40.19</v>
      </c>
      <c r="E81" s="127">
        <v>74.2</v>
      </c>
      <c r="F81" s="127">
        <v>72.2</v>
      </c>
      <c r="G81" s="127">
        <v>76.55</v>
      </c>
      <c r="H81" s="127">
        <v>60.29</v>
      </c>
      <c r="I81" s="125">
        <v>64.69</v>
      </c>
    </row>
    <row r="82">
      <c r="A82" s="127">
        <v>0.01</v>
      </c>
      <c r="B82" s="127">
        <v>0.01</v>
      </c>
      <c r="C82" s="127">
        <v>7.908</v>
      </c>
      <c r="D82" s="127">
        <v>41.04</v>
      </c>
      <c r="E82" s="127">
        <v>74.49</v>
      </c>
      <c r="F82" s="127">
        <v>71.01</v>
      </c>
      <c r="G82" s="127">
        <v>76.39</v>
      </c>
      <c r="H82" s="127">
        <v>65.7</v>
      </c>
      <c r="I82" s="125">
        <v>65.73</v>
      </c>
    </row>
    <row r="83">
      <c r="A83" s="127">
        <v>0.01</v>
      </c>
      <c r="B83" s="127">
        <v>0.02</v>
      </c>
      <c r="C83" s="127">
        <v>7.875</v>
      </c>
      <c r="D83" s="127">
        <v>40.53</v>
      </c>
      <c r="E83" s="127">
        <v>74.2</v>
      </c>
      <c r="F83" s="127">
        <v>72.6</v>
      </c>
      <c r="G83" s="127">
        <v>76.28</v>
      </c>
      <c r="H83" s="127">
        <v>64.26</v>
      </c>
      <c r="I83" s="125">
        <v>65.57</v>
      </c>
    </row>
    <row r="84">
      <c r="A84" s="127">
        <v>0.01</v>
      </c>
      <c r="B84" s="127">
        <v>0.03</v>
      </c>
      <c r="C84" s="127">
        <v>7.845</v>
      </c>
      <c r="D84" s="127">
        <v>41.04</v>
      </c>
      <c r="E84" s="127">
        <v>74.2</v>
      </c>
      <c r="F84" s="127">
        <v>70.61</v>
      </c>
      <c r="G84" s="127">
        <v>76.28</v>
      </c>
      <c r="H84" s="127">
        <v>57.4</v>
      </c>
      <c r="I84" s="125">
        <v>63.91</v>
      </c>
    </row>
    <row r="85">
      <c r="A85" s="127">
        <v>0.01</v>
      </c>
      <c r="B85" s="127">
        <v>0.04</v>
      </c>
      <c r="C85" s="127">
        <v>7.859</v>
      </c>
      <c r="D85" s="127">
        <v>41.64</v>
      </c>
      <c r="E85" s="127">
        <v>74.75</v>
      </c>
      <c r="F85" s="127">
        <v>69.02</v>
      </c>
      <c r="G85" s="127">
        <v>76.66</v>
      </c>
      <c r="H85" s="127">
        <v>58.84</v>
      </c>
      <c r="I85" s="125">
        <v>64.18</v>
      </c>
    </row>
    <row r="86">
      <c r="A86" s="127">
        <v>0.01</v>
      </c>
      <c r="B86" s="127">
        <v>0.05</v>
      </c>
      <c r="C86" s="127">
        <v>7.868</v>
      </c>
      <c r="D86" s="127">
        <v>41.3</v>
      </c>
      <c r="E86" s="127">
        <v>74.66</v>
      </c>
      <c r="F86" s="127">
        <v>70.64</v>
      </c>
      <c r="G86" s="127">
        <v>76.33</v>
      </c>
      <c r="H86" s="127">
        <v>56.68</v>
      </c>
      <c r="I86" s="125">
        <v>63.92</v>
      </c>
    </row>
    <row r="87">
      <c r="A87" s="127">
        <v>0.02</v>
      </c>
      <c r="B87" s="127">
        <v>0.01</v>
      </c>
      <c r="C87" s="127">
        <v>7.896</v>
      </c>
      <c r="D87" s="127">
        <v>40.53</v>
      </c>
      <c r="E87" s="127">
        <v>74.96</v>
      </c>
      <c r="F87" s="127">
        <v>72.45</v>
      </c>
      <c r="G87" s="127">
        <v>76.44</v>
      </c>
      <c r="H87" s="127">
        <v>62.82</v>
      </c>
      <c r="I87" s="125">
        <v>65.44</v>
      </c>
    </row>
    <row r="88">
      <c r="A88" s="127">
        <v>0.02</v>
      </c>
      <c r="B88" s="127">
        <v>0.02</v>
      </c>
      <c r="C88" s="127">
        <v>7.861</v>
      </c>
      <c r="D88" s="127">
        <v>40.36</v>
      </c>
      <c r="E88" s="127">
        <v>74.49</v>
      </c>
      <c r="F88" s="127">
        <v>69.69</v>
      </c>
      <c r="G88" s="127">
        <v>76.33</v>
      </c>
      <c r="H88" s="127">
        <v>61.01</v>
      </c>
      <c r="I88" s="125">
        <v>64.38</v>
      </c>
    </row>
    <row r="89">
      <c r="A89" s="127">
        <v>0.02</v>
      </c>
      <c r="B89" s="127">
        <v>0.03</v>
      </c>
      <c r="C89" s="127">
        <v>7.869</v>
      </c>
      <c r="D89" s="127">
        <v>40.7</v>
      </c>
      <c r="E89" s="127">
        <v>74.79</v>
      </c>
      <c r="F89" s="127">
        <v>70.83</v>
      </c>
      <c r="G89" s="127">
        <v>76.66</v>
      </c>
      <c r="H89" s="127">
        <v>59.93</v>
      </c>
      <c r="I89" s="125">
        <v>64.58</v>
      </c>
    </row>
    <row r="90">
      <c r="A90" s="127">
        <v>0.02</v>
      </c>
      <c r="B90" s="127">
        <v>0.04</v>
      </c>
      <c r="C90" s="127">
        <v>7.857</v>
      </c>
      <c r="D90" s="127">
        <v>40.7</v>
      </c>
      <c r="E90" s="127">
        <v>74.71</v>
      </c>
      <c r="F90" s="127">
        <v>71.01</v>
      </c>
      <c r="G90" s="127">
        <v>76.06</v>
      </c>
      <c r="H90" s="127">
        <v>57.4</v>
      </c>
      <c r="I90" s="125">
        <v>63.98</v>
      </c>
    </row>
    <row r="91">
      <c r="A91" s="127">
        <v>0.02</v>
      </c>
      <c r="B91" s="127">
        <v>0.05</v>
      </c>
      <c r="C91" s="127">
        <v>7.87</v>
      </c>
      <c r="D91" s="127">
        <v>41.55</v>
      </c>
      <c r="E91" s="127">
        <v>74.79</v>
      </c>
      <c r="F91" s="127">
        <v>70.21</v>
      </c>
      <c r="G91" s="127">
        <v>76.44</v>
      </c>
      <c r="H91" s="127">
        <v>61.01</v>
      </c>
      <c r="I91" s="125">
        <v>64.8</v>
      </c>
    </row>
    <row r="92">
      <c r="A92" s="127">
        <v>0.03</v>
      </c>
      <c r="B92" s="127">
        <v>0.01</v>
      </c>
      <c r="C92" s="127">
        <v>7.904</v>
      </c>
      <c r="D92" s="127">
        <v>40.7</v>
      </c>
      <c r="E92" s="127">
        <v>75.13</v>
      </c>
      <c r="F92" s="127">
        <v>69.57</v>
      </c>
      <c r="G92" s="127">
        <v>76.33</v>
      </c>
      <c r="H92" s="127">
        <v>61.37</v>
      </c>
      <c r="I92" s="125">
        <v>64.62</v>
      </c>
    </row>
    <row r="93">
      <c r="A93" s="127">
        <v>0.03</v>
      </c>
      <c r="B93" s="127">
        <v>0.02</v>
      </c>
      <c r="C93" s="127">
        <v>7.869</v>
      </c>
      <c r="D93" s="127">
        <v>40.61</v>
      </c>
      <c r="E93" s="127">
        <v>74.37</v>
      </c>
      <c r="F93" s="127">
        <v>72.84</v>
      </c>
      <c r="G93" s="127">
        <v>76.17</v>
      </c>
      <c r="H93" s="127">
        <v>63.18</v>
      </c>
      <c r="I93" s="125">
        <v>65.43</v>
      </c>
    </row>
    <row r="94">
      <c r="A94" s="127">
        <v>0.03</v>
      </c>
      <c r="B94" s="127">
        <v>0.03</v>
      </c>
      <c r="C94" s="127">
        <v>7.867</v>
      </c>
      <c r="D94" s="127">
        <v>40.19</v>
      </c>
      <c r="E94" s="127">
        <v>74.03</v>
      </c>
      <c r="F94" s="127">
        <v>70.24</v>
      </c>
      <c r="G94" s="127">
        <v>76.44</v>
      </c>
      <c r="H94" s="127">
        <v>57.4</v>
      </c>
      <c r="I94" s="125">
        <v>63.66</v>
      </c>
    </row>
    <row r="95">
      <c r="A95" s="127">
        <v>0.03</v>
      </c>
      <c r="B95" s="127">
        <v>0.04</v>
      </c>
      <c r="C95" s="127">
        <v>7.88</v>
      </c>
      <c r="D95" s="127">
        <v>41.13</v>
      </c>
      <c r="E95" s="127">
        <v>74.2</v>
      </c>
      <c r="F95" s="127">
        <v>71.68</v>
      </c>
      <c r="G95" s="127">
        <v>76.28</v>
      </c>
      <c r="H95" s="127">
        <v>64.26</v>
      </c>
      <c r="I95" s="125">
        <v>65.51</v>
      </c>
    </row>
    <row r="96">
      <c r="A96" s="127">
        <v>0.03</v>
      </c>
      <c r="B96" s="127">
        <v>0.05</v>
      </c>
      <c r="C96" s="127">
        <v>7.873</v>
      </c>
      <c r="D96" s="127">
        <v>40.78</v>
      </c>
      <c r="E96" s="127">
        <v>74.16</v>
      </c>
      <c r="F96" s="127">
        <v>70.43</v>
      </c>
      <c r="G96" s="127">
        <v>75.84</v>
      </c>
      <c r="H96" s="127">
        <v>62.09</v>
      </c>
      <c r="I96" s="125">
        <v>64.66</v>
      </c>
    </row>
    <row r="97">
      <c r="A97" s="127">
        <v>0.04</v>
      </c>
      <c r="B97" s="127">
        <v>0.01</v>
      </c>
      <c r="C97" s="127">
        <v>7.913</v>
      </c>
      <c r="D97" s="127">
        <v>40.78</v>
      </c>
      <c r="E97" s="127">
        <v>74.96</v>
      </c>
      <c r="F97" s="127">
        <v>69.45</v>
      </c>
      <c r="G97" s="127">
        <v>76.61</v>
      </c>
      <c r="H97" s="127">
        <v>62.09</v>
      </c>
      <c r="I97" s="125">
        <v>64.78</v>
      </c>
    </row>
    <row r="98">
      <c r="A98" s="127">
        <v>0.04</v>
      </c>
      <c r="B98" s="127">
        <v>0.02</v>
      </c>
      <c r="C98" s="127">
        <v>7.868</v>
      </c>
      <c r="D98" s="127">
        <v>40.87</v>
      </c>
      <c r="E98" s="127">
        <v>74.75</v>
      </c>
      <c r="F98" s="127">
        <v>71.25</v>
      </c>
      <c r="G98" s="127">
        <v>76.22</v>
      </c>
      <c r="H98" s="127">
        <v>58.12</v>
      </c>
      <c r="I98" s="125">
        <v>64.24</v>
      </c>
    </row>
    <row r="99">
      <c r="A99" s="127">
        <v>0.04</v>
      </c>
      <c r="B99" s="127">
        <v>0.03</v>
      </c>
      <c r="C99" s="127">
        <v>7.862</v>
      </c>
      <c r="D99" s="127">
        <v>40.87</v>
      </c>
      <c r="E99" s="127">
        <v>74.79</v>
      </c>
      <c r="F99" s="127">
        <v>70.7</v>
      </c>
      <c r="G99" s="127">
        <v>76.39</v>
      </c>
      <c r="H99" s="127">
        <v>57.76</v>
      </c>
      <c r="I99" s="125">
        <v>64.1</v>
      </c>
    </row>
    <row r="100">
      <c r="A100" s="127">
        <v>0.04</v>
      </c>
      <c r="B100" s="127">
        <v>0.04</v>
      </c>
      <c r="C100" s="127">
        <v>7.871</v>
      </c>
      <c r="D100" s="127">
        <v>40.44</v>
      </c>
      <c r="E100" s="127">
        <v>74.24</v>
      </c>
      <c r="F100" s="127">
        <v>74.04</v>
      </c>
      <c r="G100" s="127">
        <v>76.44</v>
      </c>
      <c r="H100" s="127">
        <v>59.21</v>
      </c>
      <c r="I100" s="125">
        <v>64.87</v>
      </c>
    </row>
    <row r="101">
      <c r="A101" s="127">
        <v>0.04</v>
      </c>
      <c r="B101" s="127">
        <v>0.05</v>
      </c>
      <c r="C101" s="127">
        <v>7.873</v>
      </c>
      <c r="D101" s="127">
        <v>40.53</v>
      </c>
      <c r="E101" s="127">
        <v>74.71</v>
      </c>
      <c r="F101" s="127">
        <v>69.97</v>
      </c>
      <c r="G101" s="127">
        <v>75.84</v>
      </c>
      <c r="H101" s="127">
        <v>59.21</v>
      </c>
      <c r="I101" s="125">
        <v>64.05</v>
      </c>
    </row>
    <row r="102">
      <c r="A102" s="127">
        <v>0.05</v>
      </c>
      <c r="B102" s="127">
        <v>0.01</v>
      </c>
      <c r="C102" s="127">
        <v>7.904</v>
      </c>
      <c r="D102" s="127">
        <v>40.27</v>
      </c>
      <c r="E102" s="127">
        <v>74.24</v>
      </c>
      <c r="F102" s="127">
        <v>70.46</v>
      </c>
      <c r="G102" s="127">
        <v>76.33</v>
      </c>
      <c r="H102" s="127">
        <v>63.9</v>
      </c>
      <c r="I102" s="125">
        <v>65.04</v>
      </c>
    </row>
    <row r="103">
      <c r="A103" s="127">
        <v>0.05</v>
      </c>
      <c r="B103" s="127">
        <v>0.02</v>
      </c>
      <c r="C103" s="127">
        <v>7.867</v>
      </c>
      <c r="D103" s="127">
        <v>40.19</v>
      </c>
      <c r="E103" s="127">
        <v>74.92</v>
      </c>
      <c r="F103" s="127">
        <v>70.15</v>
      </c>
      <c r="G103" s="127">
        <v>76.12</v>
      </c>
      <c r="H103" s="127">
        <v>59.21</v>
      </c>
      <c r="I103" s="125">
        <v>64.12</v>
      </c>
    </row>
    <row r="104">
      <c r="A104" s="127">
        <v>0.05</v>
      </c>
      <c r="B104" s="127">
        <v>0.03</v>
      </c>
      <c r="C104" s="127">
        <v>7.862</v>
      </c>
      <c r="D104" s="127">
        <v>40.78</v>
      </c>
      <c r="E104" s="127">
        <v>74.45</v>
      </c>
      <c r="F104" s="127">
        <v>73.03</v>
      </c>
      <c r="G104" s="127">
        <v>76.22</v>
      </c>
      <c r="H104" s="127">
        <v>64.98</v>
      </c>
      <c r="I104" s="125">
        <v>65.89</v>
      </c>
    </row>
    <row r="105">
      <c r="A105" s="127">
        <v>0.05</v>
      </c>
      <c r="B105" s="127">
        <v>0.04</v>
      </c>
      <c r="C105" s="127">
        <v>7.845</v>
      </c>
      <c r="D105" s="127">
        <v>41.13</v>
      </c>
      <c r="E105" s="127">
        <v>74.45</v>
      </c>
      <c r="F105" s="127">
        <v>70.67</v>
      </c>
      <c r="G105" s="127">
        <v>76.01</v>
      </c>
      <c r="H105" s="127">
        <v>59.93</v>
      </c>
      <c r="I105" s="125">
        <v>64.44</v>
      </c>
    </row>
    <row r="106">
      <c r="A106" s="127">
        <v>0.05</v>
      </c>
      <c r="B106" s="127">
        <v>0.05</v>
      </c>
      <c r="C106" s="127">
        <v>7.879</v>
      </c>
      <c r="D106" s="127">
        <v>40.36</v>
      </c>
      <c r="E106" s="127">
        <v>74.16</v>
      </c>
      <c r="F106" s="127">
        <v>73.33</v>
      </c>
      <c r="G106" s="127">
        <v>75.95</v>
      </c>
      <c r="H106" s="127">
        <v>61.73</v>
      </c>
      <c r="I106" s="125">
        <v>65.11</v>
      </c>
    </row>
    <row r="107">
      <c r="A107" s="14"/>
      <c r="B107" s="14"/>
      <c r="C107" s="14"/>
      <c r="D107" s="14"/>
      <c r="E107" s="14"/>
      <c r="F107" s="14"/>
      <c r="G107" s="14"/>
      <c r="H107" s="14"/>
      <c r="I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</row>
    <row r="109">
      <c r="A109" s="124" t="s">
        <v>204</v>
      </c>
    </row>
    <row r="110">
      <c r="A110" s="125" t="s">
        <v>160</v>
      </c>
      <c r="B110" s="125" t="s">
        <v>161</v>
      </c>
      <c r="C110" s="125" t="s">
        <v>197</v>
      </c>
      <c r="D110" s="125" t="s">
        <v>4</v>
      </c>
      <c r="E110" s="125" t="s">
        <v>5</v>
      </c>
      <c r="F110" s="125" t="s">
        <v>6</v>
      </c>
      <c r="G110" s="125" t="s">
        <v>10</v>
      </c>
      <c r="H110" s="125" t="s">
        <v>11</v>
      </c>
      <c r="I110" s="125" t="s">
        <v>198</v>
      </c>
    </row>
    <row r="111">
      <c r="A111" s="126" t="s">
        <v>199</v>
      </c>
      <c r="B111" s="127" t="s">
        <v>200</v>
      </c>
      <c r="C111" s="127">
        <v>5.442</v>
      </c>
      <c r="D111" s="127">
        <v>50.26</v>
      </c>
      <c r="E111" s="127">
        <v>80.09</v>
      </c>
      <c r="F111" s="127">
        <v>81.35</v>
      </c>
      <c r="G111" s="127">
        <v>79.71</v>
      </c>
      <c r="H111" s="127">
        <v>69.68</v>
      </c>
      <c r="I111" s="125">
        <v>72.22</v>
      </c>
    </row>
    <row r="112">
      <c r="A112" s="126" t="s">
        <v>201</v>
      </c>
      <c r="B112" s="127" t="s">
        <v>200</v>
      </c>
      <c r="C112" s="127">
        <v>8.151</v>
      </c>
      <c r="D112" s="127">
        <v>39.42</v>
      </c>
      <c r="E112" s="127">
        <v>69.78</v>
      </c>
      <c r="F112" s="127">
        <v>74.5</v>
      </c>
      <c r="G112" s="127">
        <v>75.95</v>
      </c>
      <c r="H112" s="127">
        <v>61.37</v>
      </c>
      <c r="I112" s="125">
        <v>64.2</v>
      </c>
    </row>
    <row r="113">
      <c r="A113" s="127">
        <v>0.0</v>
      </c>
      <c r="B113" s="127">
        <v>0.01</v>
      </c>
      <c r="C113" s="127">
        <v>8.004</v>
      </c>
      <c r="D113" s="127">
        <v>40.36</v>
      </c>
      <c r="E113" s="127">
        <v>69.99</v>
      </c>
      <c r="F113" s="127">
        <v>75.05</v>
      </c>
      <c r="G113" s="127">
        <v>76.61</v>
      </c>
      <c r="H113" s="127">
        <v>61.37</v>
      </c>
      <c r="I113" s="125">
        <v>64.67</v>
      </c>
    </row>
    <row r="114">
      <c r="A114" s="127">
        <v>0.0</v>
      </c>
      <c r="B114" s="127">
        <v>0.02</v>
      </c>
      <c r="C114" s="127">
        <v>7.977</v>
      </c>
      <c r="D114" s="127">
        <v>39.33</v>
      </c>
      <c r="E114" s="127">
        <v>70.45</v>
      </c>
      <c r="F114" s="127">
        <v>72.81</v>
      </c>
      <c r="G114" s="127">
        <v>76.12</v>
      </c>
      <c r="H114" s="127">
        <v>61.01</v>
      </c>
      <c r="I114" s="125">
        <v>63.95</v>
      </c>
    </row>
    <row r="115">
      <c r="A115" s="127">
        <v>0.0</v>
      </c>
      <c r="B115" s="127">
        <v>0.03</v>
      </c>
      <c r="C115" s="127">
        <v>7.969</v>
      </c>
      <c r="D115" s="127">
        <v>39.76</v>
      </c>
      <c r="E115" s="127">
        <v>70.75</v>
      </c>
      <c r="F115" s="127">
        <v>74.5</v>
      </c>
      <c r="G115" s="127">
        <v>75.41</v>
      </c>
      <c r="H115" s="127">
        <v>62.09</v>
      </c>
      <c r="I115" s="125">
        <v>64.5</v>
      </c>
    </row>
    <row r="116">
      <c r="A116" s="127">
        <v>0.0</v>
      </c>
      <c r="B116" s="127">
        <v>0.04</v>
      </c>
      <c r="C116" s="127">
        <v>7.956</v>
      </c>
      <c r="D116" s="127">
        <v>38.57</v>
      </c>
      <c r="E116" s="127">
        <v>69.74</v>
      </c>
      <c r="F116" s="127">
        <v>74.43</v>
      </c>
      <c r="G116" s="127">
        <v>76.12</v>
      </c>
      <c r="H116" s="127">
        <v>61.01</v>
      </c>
      <c r="I116" s="125">
        <v>63.97</v>
      </c>
    </row>
    <row r="117">
      <c r="A117" s="127">
        <v>0.0</v>
      </c>
      <c r="B117" s="127">
        <v>0.05</v>
      </c>
      <c r="C117" s="127">
        <v>7.965</v>
      </c>
      <c r="D117" s="127">
        <v>38.65</v>
      </c>
      <c r="E117" s="127">
        <v>69.95</v>
      </c>
      <c r="F117" s="127">
        <v>73.39</v>
      </c>
      <c r="G117" s="127">
        <v>75.63</v>
      </c>
      <c r="H117" s="127">
        <v>60.65</v>
      </c>
      <c r="I117" s="125">
        <v>63.65</v>
      </c>
    </row>
    <row r="118">
      <c r="A118" s="128">
        <v>0.01</v>
      </c>
      <c r="B118" s="128">
        <v>0.01</v>
      </c>
      <c r="C118" s="128">
        <v>7.998</v>
      </c>
      <c r="D118" s="128">
        <v>40.87</v>
      </c>
      <c r="E118" s="128">
        <v>71.0</v>
      </c>
      <c r="F118" s="128">
        <v>73.3</v>
      </c>
      <c r="G118" s="128">
        <v>76.44</v>
      </c>
      <c r="H118" s="128">
        <v>61.73</v>
      </c>
      <c r="I118" s="129">
        <v>64.67</v>
      </c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>
      <c r="A119" s="127">
        <v>0.01</v>
      </c>
      <c r="B119" s="127">
        <v>0.02</v>
      </c>
      <c r="C119" s="127">
        <v>7.967</v>
      </c>
      <c r="D119" s="127">
        <v>41.21</v>
      </c>
      <c r="E119" s="127">
        <v>70.5</v>
      </c>
      <c r="F119" s="127">
        <v>73.79</v>
      </c>
      <c r="G119" s="127">
        <v>75.79</v>
      </c>
      <c r="H119" s="127">
        <v>60.65</v>
      </c>
      <c r="I119" s="125">
        <v>64.39</v>
      </c>
    </row>
    <row r="120">
      <c r="A120" s="127">
        <v>0.01</v>
      </c>
      <c r="B120" s="127">
        <v>0.03</v>
      </c>
      <c r="C120" s="127">
        <v>7.945</v>
      </c>
      <c r="D120" s="127">
        <v>40.1</v>
      </c>
      <c r="E120" s="127">
        <v>69.95</v>
      </c>
      <c r="F120" s="127">
        <v>74.59</v>
      </c>
      <c r="G120" s="127">
        <v>75.9</v>
      </c>
      <c r="H120" s="127">
        <v>58.84</v>
      </c>
      <c r="I120" s="125">
        <v>63.88</v>
      </c>
    </row>
    <row r="121">
      <c r="A121" s="127">
        <v>0.01</v>
      </c>
      <c r="B121" s="127">
        <v>0.04</v>
      </c>
      <c r="C121" s="127">
        <v>7.954</v>
      </c>
      <c r="D121" s="127">
        <v>38.82</v>
      </c>
      <c r="E121" s="127">
        <v>69.36</v>
      </c>
      <c r="F121" s="127">
        <v>74.31</v>
      </c>
      <c r="G121" s="127">
        <v>75.79</v>
      </c>
      <c r="H121" s="127">
        <v>61.73</v>
      </c>
      <c r="I121" s="125">
        <v>64.0</v>
      </c>
    </row>
    <row r="122">
      <c r="A122" s="127">
        <v>0.01</v>
      </c>
      <c r="B122" s="127">
        <v>0.05</v>
      </c>
      <c r="C122" s="127">
        <v>7.974</v>
      </c>
      <c r="D122" s="127">
        <v>38.82</v>
      </c>
      <c r="E122" s="127">
        <v>70.29</v>
      </c>
      <c r="F122" s="127">
        <v>74.01</v>
      </c>
      <c r="G122" s="127">
        <v>76.17</v>
      </c>
      <c r="H122" s="127">
        <v>61.01</v>
      </c>
      <c r="I122" s="125">
        <v>64.06</v>
      </c>
    </row>
    <row r="123">
      <c r="A123" s="127">
        <v>0.02</v>
      </c>
      <c r="B123" s="127">
        <v>0.01</v>
      </c>
      <c r="C123" s="127">
        <v>7.995</v>
      </c>
      <c r="D123" s="127">
        <v>39.85</v>
      </c>
      <c r="E123" s="127">
        <v>70.37</v>
      </c>
      <c r="F123" s="127">
        <v>73.49</v>
      </c>
      <c r="G123" s="127">
        <v>76.66</v>
      </c>
      <c r="H123" s="127">
        <v>61.01</v>
      </c>
      <c r="I123" s="125">
        <v>64.27</v>
      </c>
    </row>
    <row r="124">
      <c r="A124" s="127">
        <v>0.02</v>
      </c>
      <c r="B124" s="127">
        <v>0.02</v>
      </c>
      <c r="C124" s="127">
        <v>7.975</v>
      </c>
      <c r="D124" s="127">
        <v>39.59</v>
      </c>
      <c r="E124" s="127">
        <v>69.7</v>
      </c>
      <c r="F124" s="127">
        <v>73.64</v>
      </c>
      <c r="G124" s="127">
        <v>76.44</v>
      </c>
      <c r="H124" s="127">
        <v>59.93</v>
      </c>
      <c r="I124" s="125">
        <v>63.86</v>
      </c>
    </row>
    <row r="125">
      <c r="A125" s="127">
        <v>0.02</v>
      </c>
      <c r="B125" s="127">
        <v>0.03</v>
      </c>
      <c r="C125" s="127">
        <v>7.954</v>
      </c>
      <c r="D125" s="127">
        <v>38.99</v>
      </c>
      <c r="E125" s="127">
        <v>69.87</v>
      </c>
      <c r="F125" s="127">
        <v>73.7</v>
      </c>
      <c r="G125" s="127">
        <v>76.44</v>
      </c>
      <c r="H125" s="127">
        <v>58.48</v>
      </c>
      <c r="I125" s="125">
        <v>63.5</v>
      </c>
    </row>
    <row r="126">
      <c r="A126" s="127">
        <v>0.02</v>
      </c>
      <c r="B126" s="127">
        <v>0.04</v>
      </c>
      <c r="C126" s="127">
        <v>7.962</v>
      </c>
      <c r="D126" s="127">
        <v>38.57</v>
      </c>
      <c r="E126" s="127">
        <v>69.87</v>
      </c>
      <c r="F126" s="127">
        <v>74.16</v>
      </c>
      <c r="G126" s="127">
        <v>76.28</v>
      </c>
      <c r="H126" s="127">
        <v>61.01</v>
      </c>
      <c r="I126" s="125">
        <v>63.98</v>
      </c>
    </row>
    <row r="127">
      <c r="A127" s="127">
        <v>0.02</v>
      </c>
      <c r="B127" s="127">
        <v>0.05</v>
      </c>
      <c r="C127" s="127">
        <v>7.957</v>
      </c>
      <c r="D127" s="127">
        <v>38.57</v>
      </c>
      <c r="E127" s="127">
        <v>69.87</v>
      </c>
      <c r="F127" s="127">
        <v>72.63</v>
      </c>
      <c r="G127" s="127">
        <v>76.22</v>
      </c>
      <c r="H127" s="127">
        <v>60.29</v>
      </c>
      <c r="I127" s="125">
        <v>63.51</v>
      </c>
    </row>
    <row r="128">
      <c r="A128" s="127">
        <v>0.03</v>
      </c>
      <c r="B128" s="127">
        <v>0.01</v>
      </c>
      <c r="C128" s="127">
        <v>8.009</v>
      </c>
      <c r="D128" s="127">
        <v>39.68</v>
      </c>
      <c r="E128" s="127">
        <v>70.58</v>
      </c>
      <c r="F128" s="127">
        <v>74.16</v>
      </c>
      <c r="G128" s="127">
        <v>75.95</v>
      </c>
      <c r="H128" s="127">
        <v>61.73</v>
      </c>
      <c r="I128" s="125">
        <v>64.42</v>
      </c>
    </row>
    <row r="129">
      <c r="A129" s="127">
        <v>0.03</v>
      </c>
      <c r="B129" s="127">
        <v>0.02</v>
      </c>
      <c r="C129" s="127">
        <v>7.963</v>
      </c>
      <c r="D129" s="127">
        <v>40.19</v>
      </c>
      <c r="E129" s="127">
        <v>69.61</v>
      </c>
      <c r="F129" s="127">
        <v>73.24</v>
      </c>
      <c r="G129" s="127">
        <v>76.28</v>
      </c>
      <c r="H129" s="127">
        <v>59.21</v>
      </c>
      <c r="I129" s="125">
        <v>63.71</v>
      </c>
    </row>
    <row r="130">
      <c r="A130" s="127">
        <v>0.03</v>
      </c>
      <c r="B130" s="127">
        <v>0.03</v>
      </c>
      <c r="C130" s="127">
        <v>7.967</v>
      </c>
      <c r="D130" s="127">
        <v>39.85</v>
      </c>
      <c r="E130" s="127">
        <v>69.57</v>
      </c>
      <c r="F130" s="127">
        <v>73.46</v>
      </c>
      <c r="G130" s="127">
        <v>75.79</v>
      </c>
      <c r="H130" s="127">
        <v>61.01</v>
      </c>
      <c r="I130" s="125">
        <v>63.93</v>
      </c>
    </row>
    <row r="131">
      <c r="A131" s="127">
        <v>0.03</v>
      </c>
      <c r="B131" s="127">
        <v>0.04</v>
      </c>
      <c r="C131" s="127">
        <v>7.968</v>
      </c>
      <c r="D131" s="127">
        <v>39.33</v>
      </c>
      <c r="E131" s="127">
        <v>70.29</v>
      </c>
      <c r="F131" s="127">
        <v>73.15</v>
      </c>
      <c r="G131" s="127">
        <v>75.95</v>
      </c>
      <c r="H131" s="127">
        <v>58.48</v>
      </c>
      <c r="I131" s="125">
        <v>63.44</v>
      </c>
    </row>
    <row r="132">
      <c r="A132" s="127">
        <v>0.03</v>
      </c>
      <c r="B132" s="127">
        <v>0.05</v>
      </c>
      <c r="C132" s="127">
        <v>7.959</v>
      </c>
      <c r="D132" s="127">
        <v>38.57</v>
      </c>
      <c r="E132" s="127">
        <v>70.03</v>
      </c>
      <c r="F132" s="127">
        <v>73.52</v>
      </c>
      <c r="G132" s="127">
        <v>75.41</v>
      </c>
      <c r="H132" s="127">
        <v>60.65</v>
      </c>
      <c r="I132" s="125">
        <v>63.63</v>
      </c>
    </row>
    <row r="133">
      <c r="A133" s="127">
        <v>0.04</v>
      </c>
      <c r="B133" s="127">
        <v>0.01</v>
      </c>
      <c r="C133" s="127">
        <v>8.015</v>
      </c>
      <c r="D133" s="127">
        <v>40.36</v>
      </c>
      <c r="E133" s="127">
        <v>70.41</v>
      </c>
      <c r="F133" s="127">
        <v>73.49</v>
      </c>
      <c r="G133" s="127">
        <v>75.79</v>
      </c>
      <c r="H133" s="127">
        <v>61.73</v>
      </c>
      <c r="I133" s="125">
        <v>64.36</v>
      </c>
    </row>
    <row r="134">
      <c r="A134" s="127">
        <v>0.04</v>
      </c>
      <c r="B134" s="127">
        <v>0.02</v>
      </c>
      <c r="C134" s="127">
        <v>7.964</v>
      </c>
      <c r="D134" s="127">
        <v>39.25</v>
      </c>
      <c r="E134" s="127">
        <v>69.61</v>
      </c>
      <c r="F134" s="127">
        <v>73.76</v>
      </c>
      <c r="G134" s="127">
        <v>76.06</v>
      </c>
      <c r="H134" s="127">
        <v>61.37</v>
      </c>
      <c r="I134" s="125">
        <v>64.01</v>
      </c>
    </row>
    <row r="135">
      <c r="A135" s="127">
        <v>0.04</v>
      </c>
      <c r="B135" s="127">
        <v>0.03</v>
      </c>
      <c r="C135" s="127">
        <v>7.949</v>
      </c>
      <c r="D135" s="127">
        <v>39.33</v>
      </c>
      <c r="E135" s="127">
        <v>70.33</v>
      </c>
      <c r="F135" s="127">
        <v>73.88</v>
      </c>
      <c r="G135" s="127">
        <v>75.95</v>
      </c>
      <c r="H135" s="127">
        <v>59.57</v>
      </c>
      <c r="I135" s="125">
        <v>63.81</v>
      </c>
    </row>
    <row r="136">
      <c r="A136" s="127">
        <v>0.04</v>
      </c>
      <c r="B136" s="127">
        <v>0.04</v>
      </c>
      <c r="C136" s="127">
        <v>7.957</v>
      </c>
      <c r="D136" s="127">
        <v>37.97</v>
      </c>
      <c r="E136" s="127">
        <v>69.65</v>
      </c>
      <c r="F136" s="127">
        <v>73.15</v>
      </c>
      <c r="G136" s="127">
        <v>75.68</v>
      </c>
      <c r="H136" s="127">
        <v>59.21</v>
      </c>
      <c r="I136" s="125">
        <v>63.13</v>
      </c>
    </row>
    <row r="137">
      <c r="A137" s="127">
        <v>0.04</v>
      </c>
      <c r="B137" s="127">
        <v>0.05</v>
      </c>
      <c r="C137" s="127">
        <v>7.952</v>
      </c>
      <c r="D137" s="127">
        <v>38.05</v>
      </c>
      <c r="E137" s="127">
        <v>69.19</v>
      </c>
      <c r="F137" s="127">
        <v>73.39</v>
      </c>
      <c r="G137" s="127">
        <v>76.22</v>
      </c>
      <c r="H137" s="127">
        <v>59.57</v>
      </c>
      <c r="I137" s="125">
        <v>63.29</v>
      </c>
    </row>
    <row r="138">
      <c r="A138" s="127">
        <v>0.05</v>
      </c>
      <c r="B138" s="127">
        <v>0.01</v>
      </c>
      <c r="C138" s="127">
        <v>8.006</v>
      </c>
      <c r="D138" s="127">
        <v>40.02</v>
      </c>
      <c r="E138" s="127">
        <v>70.12</v>
      </c>
      <c r="F138" s="127">
        <v>73.36</v>
      </c>
      <c r="G138" s="127">
        <v>76.22</v>
      </c>
      <c r="H138" s="127">
        <v>61.37</v>
      </c>
      <c r="I138" s="125">
        <v>64.22</v>
      </c>
    </row>
    <row r="139">
      <c r="A139" s="127">
        <v>0.05</v>
      </c>
      <c r="B139" s="127">
        <v>0.02</v>
      </c>
      <c r="C139" s="127">
        <v>7.973</v>
      </c>
      <c r="D139" s="127">
        <v>39.76</v>
      </c>
      <c r="E139" s="127">
        <v>69.02</v>
      </c>
      <c r="F139" s="127">
        <v>74.07</v>
      </c>
      <c r="G139" s="127">
        <v>76.28</v>
      </c>
      <c r="H139" s="127">
        <v>59.21</v>
      </c>
      <c r="I139" s="125">
        <v>63.67</v>
      </c>
    </row>
    <row r="140">
      <c r="A140" s="127">
        <v>0.05</v>
      </c>
      <c r="B140" s="127">
        <v>0.03</v>
      </c>
      <c r="C140" s="127">
        <v>7.946</v>
      </c>
      <c r="D140" s="127">
        <v>38.48</v>
      </c>
      <c r="E140" s="127">
        <v>70.33</v>
      </c>
      <c r="F140" s="127">
        <v>73.73</v>
      </c>
      <c r="G140" s="127">
        <v>76.39</v>
      </c>
      <c r="H140" s="127">
        <v>59.21</v>
      </c>
      <c r="I140" s="125">
        <v>63.63</v>
      </c>
    </row>
    <row r="141">
      <c r="A141" s="127">
        <v>0.05</v>
      </c>
      <c r="B141" s="127">
        <v>0.04</v>
      </c>
      <c r="C141" s="127">
        <v>7.963</v>
      </c>
      <c r="D141" s="127">
        <v>38.57</v>
      </c>
      <c r="E141" s="127">
        <v>69.87</v>
      </c>
      <c r="F141" s="127">
        <v>73.52</v>
      </c>
      <c r="G141" s="127">
        <v>76.39</v>
      </c>
      <c r="H141" s="127">
        <v>59.93</v>
      </c>
      <c r="I141" s="125">
        <v>63.65</v>
      </c>
    </row>
    <row r="142">
      <c r="A142" s="127">
        <v>0.05</v>
      </c>
      <c r="B142" s="127">
        <v>0.05</v>
      </c>
      <c r="C142" s="127">
        <v>7.96</v>
      </c>
      <c r="D142" s="127">
        <v>39.42</v>
      </c>
      <c r="E142" s="127">
        <v>69.65</v>
      </c>
      <c r="F142" s="127">
        <v>74.16</v>
      </c>
      <c r="G142" s="127">
        <v>76.5</v>
      </c>
      <c r="H142" s="127">
        <v>60.65</v>
      </c>
      <c r="I142" s="125">
        <v>64.08</v>
      </c>
    </row>
    <row r="143">
      <c r="A143" s="14"/>
      <c r="B143" s="14"/>
      <c r="C143" s="14"/>
      <c r="D143" s="14"/>
      <c r="E143" s="14"/>
      <c r="F143" s="14"/>
      <c r="G143" s="14"/>
      <c r="H143" s="14"/>
      <c r="I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</row>
    <row r="145">
      <c r="A145" s="133" t="s">
        <v>205</v>
      </c>
      <c r="B145" s="14"/>
      <c r="C145" s="14"/>
      <c r="D145" s="14"/>
      <c r="E145" s="14"/>
      <c r="F145" s="14"/>
      <c r="G145" s="14"/>
      <c r="H145" s="14"/>
      <c r="I145" s="14"/>
    </row>
  </sheetData>
  <mergeCells count="4">
    <mergeCell ref="A1:I1"/>
    <mergeCell ref="A37:I37"/>
    <mergeCell ref="A73:I73"/>
    <mergeCell ref="A109:I109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hidden="1" min="9" max="9" width="12.63"/>
  </cols>
  <sheetData>
    <row r="1">
      <c r="A1" s="70" t="s">
        <v>206</v>
      </c>
      <c r="B1" s="70" t="s">
        <v>1</v>
      </c>
      <c r="C1" s="14"/>
      <c r="D1" s="14"/>
      <c r="E1" s="14"/>
      <c r="F1" s="14"/>
      <c r="G1" s="14"/>
      <c r="H1" s="14"/>
      <c r="I1" s="14"/>
      <c r="J1" s="14"/>
      <c r="K1" s="14"/>
    </row>
    <row r="2">
      <c r="A2" s="14"/>
      <c r="B2" s="14"/>
      <c r="C2" s="70" t="s">
        <v>2</v>
      </c>
      <c r="D2" s="70" t="s">
        <v>3</v>
      </c>
      <c r="E2" s="14"/>
      <c r="F2" s="70" t="s">
        <v>4</v>
      </c>
      <c r="G2" s="70" t="s">
        <v>5</v>
      </c>
      <c r="H2" s="70" t="s">
        <v>6</v>
      </c>
      <c r="I2" s="70" t="s">
        <v>10</v>
      </c>
      <c r="J2" s="70" t="s">
        <v>11</v>
      </c>
      <c r="K2" s="70" t="s">
        <v>13</v>
      </c>
      <c r="L2" s="1" t="s">
        <v>13</v>
      </c>
    </row>
    <row r="3">
      <c r="A3" s="14"/>
      <c r="B3" s="70" t="s">
        <v>14</v>
      </c>
      <c r="C3" s="15">
        <v>4.845</v>
      </c>
      <c r="D3" s="15">
        <v>7.535</v>
      </c>
      <c r="E3" s="14"/>
      <c r="F3" s="15">
        <v>0.509</v>
      </c>
      <c r="G3" s="15">
        <v>0.802</v>
      </c>
      <c r="H3" s="15">
        <v>0.837</v>
      </c>
      <c r="I3" s="15">
        <v>0.8</v>
      </c>
      <c r="J3" s="15">
        <v>0.686</v>
      </c>
      <c r="K3" s="15">
        <v>0.7268</v>
      </c>
      <c r="L3" s="4">
        <f>AVERAGE(F3,G3,H3,J3,K3)</f>
        <v>0.71216</v>
      </c>
    </row>
    <row r="4">
      <c r="A4" s="70" t="s">
        <v>50</v>
      </c>
      <c r="B4" s="70" t="s">
        <v>207</v>
      </c>
      <c r="C4" s="15">
        <v>5.386</v>
      </c>
      <c r="D4" s="15">
        <v>8.4</v>
      </c>
      <c r="E4" s="14"/>
      <c r="F4" s="15">
        <v>0.454</v>
      </c>
      <c r="G4" s="15">
        <v>0.777</v>
      </c>
      <c r="H4" s="15">
        <v>0.802</v>
      </c>
      <c r="I4" s="15">
        <v>0.792</v>
      </c>
      <c r="J4" s="15">
        <v>0.596</v>
      </c>
      <c r="K4" s="15">
        <v>0.684</v>
      </c>
    </row>
    <row r="5">
      <c r="A5" s="14"/>
      <c r="B5" s="70" t="s">
        <v>208</v>
      </c>
      <c r="C5" s="15">
        <v>5.133</v>
      </c>
      <c r="D5" s="15">
        <v>7.972</v>
      </c>
      <c r="E5" s="14"/>
      <c r="F5" s="15">
        <v>0.461</v>
      </c>
      <c r="G5" s="15">
        <v>0.781</v>
      </c>
      <c r="H5" s="15">
        <v>0.791</v>
      </c>
      <c r="I5" s="15">
        <v>0.795</v>
      </c>
      <c r="J5" s="15">
        <v>0.643</v>
      </c>
      <c r="K5" s="15">
        <v>0.694</v>
      </c>
      <c r="L5" s="7"/>
    </row>
    <row r="6">
      <c r="A6" s="14"/>
      <c r="B6" s="14"/>
      <c r="C6" s="14"/>
      <c r="D6" s="14"/>
      <c r="E6" s="14"/>
      <c r="F6" s="14"/>
      <c r="G6" s="14"/>
      <c r="H6" s="14"/>
      <c r="I6" s="134"/>
      <c r="J6" s="14"/>
      <c r="K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>
      <c r="A9" s="14"/>
      <c r="B9" s="14"/>
      <c r="C9" s="134"/>
      <c r="D9" s="134"/>
      <c r="E9" s="14"/>
      <c r="F9" s="134"/>
      <c r="G9" s="14"/>
      <c r="H9" s="134"/>
      <c r="I9" s="14"/>
      <c r="J9" s="134"/>
      <c r="K9" s="134"/>
      <c r="L9" s="7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>
      <c r="A14" s="14"/>
      <c r="B14" s="70" t="s">
        <v>14</v>
      </c>
      <c r="C14" s="15">
        <v>5.522</v>
      </c>
      <c r="D14" s="15">
        <v>8.409</v>
      </c>
      <c r="E14" s="14"/>
      <c r="F14" s="15">
        <v>0.522</v>
      </c>
      <c r="G14" s="15">
        <v>0.822</v>
      </c>
      <c r="H14" s="15">
        <v>0.83</v>
      </c>
      <c r="I14" s="15">
        <v>0.791</v>
      </c>
      <c r="J14" s="15">
        <v>0.711</v>
      </c>
      <c r="K14" s="15">
        <v>0.7352</v>
      </c>
      <c r="L14" s="4">
        <f>AVERAGE(F14,G14,H14,J14,K14)</f>
        <v>0.72404</v>
      </c>
    </row>
    <row r="15">
      <c r="A15" s="70" t="s">
        <v>27</v>
      </c>
      <c r="B15" s="70" t="s">
        <v>207</v>
      </c>
      <c r="C15" s="15">
        <v>7.221</v>
      </c>
      <c r="D15" s="15">
        <v>11.856</v>
      </c>
      <c r="E15" s="14"/>
      <c r="F15" s="15">
        <v>0.421</v>
      </c>
      <c r="G15" s="15">
        <v>0.762</v>
      </c>
      <c r="H15" s="15">
        <v>0.743</v>
      </c>
      <c r="I15" s="15">
        <v>0.785</v>
      </c>
      <c r="J15" s="15">
        <v>0.556</v>
      </c>
      <c r="K15" s="15">
        <v>0.653</v>
      </c>
    </row>
    <row r="16">
      <c r="A16" s="14"/>
      <c r="B16" s="70" t="s">
        <v>208</v>
      </c>
      <c r="C16" s="134"/>
      <c r="D16" s="134"/>
      <c r="E16" s="14"/>
      <c r="F16" s="134"/>
      <c r="G16" s="134"/>
      <c r="H16" s="134"/>
      <c r="I16" s="134"/>
      <c r="J16" s="134"/>
      <c r="K16" s="134"/>
      <c r="L16" s="7"/>
    </row>
    <row r="17">
      <c r="A17" s="14"/>
      <c r="B17" s="14"/>
      <c r="C17" s="14"/>
      <c r="D17" s="14"/>
      <c r="E17" s="14"/>
      <c r="F17" s="14"/>
      <c r="G17" s="14"/>
      <c r="H17" s="14"/>
      <c r="I17" s="134"/>
      <c r="J17" s="14"/>
      <c r="K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>
      <c r="A20" s="14"/>
      <c r="B20" s="14"/>
      <c r="C20" s="134"/>
      <c r="D20" s="134"/>
      <c r="E20" s="14"/>
      <c r="F20" s="134"/>
      <c r="G20" s="14"/>
      <c r="H20" s="134"/>
      <c r="I20" s="14"/>
      <c r="J20" s="134"/>
      <c r="K20" s="134"/>
      <c r="L20" s="7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>
      <c r="A26" s="70" t="s">
        <v>33</v>
      </c>
      <c r="B26" s="70" t="s">
        <v>14</v>
      </c>
      <c r="C26" s="15">
        <v>6.0839</v>
      </c>
      <c r="D26" s="15">
        <v>10.8166</v>
      </c>
      <c r="E26" s="14"/>
      <c r="F26" s="15">
        <v>0.477</v>
      </c>
      <c r="G26" s="15">
        <v>0.804</v>
      </c>
      <c r="H26" s="15">
        <v>0.846</v>
      </c>
      <c r="I26" s="15">
        <v>0.787</v>
      </c>
      <c r="J26" s="15">
        <v>0.815</v>
      </c>
      <c r="K26" s="15">
        <v>0.7458</v>
      </c>
      <c r="L26" s="4">
        <f>AVERAGE(F26,G26,H26,J26,K26)</f>
        <v>0.73756</v>
      </c>
    </row>
    <row r="27">
      <c r="A27" s="70" t="s">
        <v>33</v>
      </c>
      <c r="B27" s="70" t="s">
        <v>207</v>
      </c>
      <c r="C27" s="134"/>
      <c r="D27" s="134"/>
      <c r="E27" s="14"/>
      <c r="F27" s="134"/>
      <c r="G27" s="134"/>
      <c r="H27" s="134"/>
      <c r="I27" s="134"/>
      <c r="J27" s="134"/>
      <c r="K27" s="134"/>
    </row>
    <row r="28">
      <c r="A28" s="14"/>
      <c r="B28" s="70" t="s">
        <v>208</v>
      </c>
      <c r="C28" s="134"/>
      <c r="D28" s="134"/>
      <c r="E28" s="14"/>
      <c r="F28" s="134"/>
      <c r="G28" s="134"/>
      <c r="H28" s="134"/>
      <c r="I28" s="134"/>
      <c r="J28" s="134"/>
      <c r="K28" s="134"/>
      <c r="L28" s="7"/>
    </row>
    <row r="29">
      <c r="A29" s="14"/>
      <c r="B29" s="14"/>
      <c r="C29" s="14"/>
      <c r="D29" s="14"/>
      <c r="E29" s="14"/>
      <c r="F29" s="14"/>
      <c r="G29" s="14"/>
      <c r="H29" s="14"/>
      <c r="I29" s="134"/>
      <c r="J29" s="14"/>
      <c r="K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>
      <c r="A32" s="14"/>
      <c r="B32" s="14"/>
      <c r="C32" s="134"/>
      <c r="D32" s="134"/>
      <c r="E32" s="14"/>
      <c r="F32" s="134"/>
      <c r="G32" s="14"/>
      <c r="H32" s="134"/>
      <c r="I32" s="14"/>
      <c r="J32" s="134"/>
      <c r="K32" s="134"/>
      <c r="L32" s="7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70" t="s">
        <v>0</v>
      </c>
      <c r="B40" s="70" t="s">
        <v>1</v>
      </c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4"/>
      <c r="B41" s="14"/>
      <c r="C41" s="70" t="s">
        <v>2</v>
      </c>
      <c r="D41" s="70" t="s">
        <v>3</v>
      </c>
      <c r="E41" s="14"/>
      <c r="F41" s="70" t="s">
        <v>4</v>
      </c>
      <c r="G41" s="70" t="s">
        <v>5</v>
      </c>
      <c r="H41" s="70" t="s">
        <v>6</v>
      </c>
      <c r="I41" s="70" t="s">
        <v>10</v>
      </c>
      <c r="J41" s="70" t="s">
        <v>11</v>
      </c>
      <c r="K41" s="70" t="s">
        <v>13</v>
      </c>
      <c r="L41" s="1" t="s">
        <v>13</v>
      </c>
    </row>
    <row r="42">
      <c r="A42" s="14"/>
      <c r="B42" s="70" t="s">
        <v>14</v>
      </c>
      <c r="C42" s="15">
        <v>5.442</v>
      </c>
      <c r="D42" s="15">
        <v>8.346</v>
      </c>
      <c r="E42" s="14"/>
      <c r="F42" s="15">
        <v>0.505</v>
      </c>
      <c r="G42" s="15">
        <v>0.8</v>
      </c>
      <c r="H42" s="15">
        <v>0.813</v>
      </c>
      <c r="I42" s="15">
        <v>0.796</v>
      </c>
      <c r="J42" s="15">
        <v>0.696</v>
      </c>
      <c r="K42" s="15">
        <v>0.722</v>
      </c>
      <c r="L42" s="4">
        <f>AVERAGE(F42,G42,H42,J42,K42)</f>
        <v>0.7072</v>
      </c>
    </row>
    <row r="43">
      <c r="A43" s="70" t="s">
        <v>38</v>
      </c>
      <c r="B43" s="70" t="s">
        <v>207</v>
      </c>
      <c r="C43" s="14"/>
      <c r="D43" s="14"/>
      <c r="E43" s="14"/>
      <c r="F43" s="14"/>
      <c r="G43" s="14"/>
      <c r="H43" s="14"/>
      <c r="I43" s="134"/>
      <c r="J43" s="14"/>
      <c r="K43" s="14"/>
    </row>
    <row r="44">
      <c r="A44" s="14"/>
      <c r="B44" s="70" t="s">
        <v>208</v>
      </c>
      <c r="C44" s="134"/>
      <c r="D44" s="134"/>
      <c r="E44" s="14"/>
      <c r="F44" s="134"/>
      <c r="G44" s="134"/>
      <c r="H44" s="134"/>
      <c r="I44" s="134"/>
      <c r="J44" s="134"/>
      <c r="K44" s="134"/>
      <c r="L44" s="7"/>
    </row>
    <row r="45">
      <c r="A45" s="14"/>
      <c r="B45" s="14"/>
      <c r="C45" s="14"/>
      <c r="D45" s="14"/>
      <c r="E45" s="14"/>
      <c r="F45" s="14"/>
      <c r="G45" s="14"/>
      <c r="H45" s="14"/>
      <c r="I45" s="134"/>
      <c r="J45" s="14"/>
      <c r="K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>
      <c r="A48" s="14"/>
      <c r="B48" s="14"/>
      <c r="C48" s="134"/>
      <c r="D48" s="134"/>
      <c r="E48" s="14"/>
      <c r="F48" s="134"/>
      <c r="G48" s="14"/>
      <c r="H48" s="134"/>
      <c r="I48" s="14"/>
      <c r="J48" s="134"/>
      <c r="K48" s="134"/>
      <c r="L48" s="7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>
      <c r="A51" s="14"/>
      <c r="B51" s="14"/>
      <c r="C51" s="14"/>
      <c r="D51" s="14"/>
      <c r="E51" s="14"/>
      <c r="F51" s="14"/>
      <c r="G51" s="70" t="s">
        <v>209</v>
      </c>
      <c r="H51" s="14"/>
      <c r="I51" s="14"/>
      <c r="J51" s="14"/>
      <c r="K51" s="14"/>
    </row>
    <row r="52">
      <c r="I52" s="2"/>
    </row>
    <row r="53">
      <c r="I53" s="2"/>
    </row>
    <row r="54">
      <c r="I54" s="2"/>
    </row>
    <row r="55">
      <c r="G55" s="7"/>
      <c r="I55" s="2"/>
    </row>
    <row r="56">
      <c r="I56" s="2"/>
    </row>
    <row r="57">
      <c r="I57" s="2"/>
    </row>
    <row r="58">
      <c r="I58" s="2"/>
    </row>
    <row r="59">
      <c r="I59" s="2"/>
    </row>
    <row r="60">
      <c r="I60" s="2"/>
    </row>
    <row r="61">
      <c r="I61" s="2"/>
    </row>
    <row r="62">
      <c r="I62" s="2"/>
    </row>
    <row r="63">
      <c r="I63" s="2"/>
    </row>
    <row r="64">
      <c r="I64" s="2"/>
    </row>
    <row r="65">
      <c r="I65" s="2"/>
    </row>
    <row r="66">
      <c r="I66" s="2"/>
    </row>
    <row r="67">
      <c r="I67" s="2"/>
    </row>
    <row r="68">
      <c r="I68" s="2"/>
    </row>
    <row r="69">
      <c r="I69" s="2"/>
    </row>
    <row r="70">
      <c r="I70" s="2"/>
    </row>
    <row r="71">
      <c r="I71" s="2"/>
    </row>
    <row r="72">
      <c r="I72" s="2"/>
    </row>
    <row r="73">
      <c r="I73" s="2"/>
    </row>
    <row r="74">
      <c r="I74" s="2"/>
    </row>
    <row r="75">
      <c r="I75" s="2"/>
    </row>
    <row r="76">
      <c r="I76" s="2"/>
    </row>
    <row r="77">
      <c r="I77" s="2"/>
    </row>
    <row r="78">
      <c r="I78" s="2"/>
    </row>
    <row r="79">
      <c r="I79" s="2"/>
    </row>
    <row r="80">
      <c r="I80" s="2"/>
    </row>
    <row r="81">
      <c r="I81" s="2"/>
    </row>
    <row r="82">
      <c r="I82" s="2"/>
    </row>
    <row r="83">
      <c r="I83" s="2"/>
    </row>
    <row r="84">
      <c r="I84" s="2"/>
    </row>
    <row r="85">
      <c r="I85" s="2"/>
    </row>
    <row r="86">
      <c r="I86" s="2"/>
    </row>
    <row r="87">
      <c r="I87" s="2"/>
    </row>
    <row r="88">
      <c r="I88" s="2"/>
    </row>
    <row r="89">
      <c r="I89" s="2"/>
    </row>
    <row r="90">
      <c r="I90" s="2"/>
    </row>
    <row r="91">
      <c r="I91" s="2"/>
    </row>
    <row r="92">
      <c r="I92" s="2"/>
    </row>
    <row r="93">
      <c r="I93" s="2"/>
    </row>
    <row r="94">
      <c r="I94" s="2"/>
    </row>
    <row r="95">
      <c r="I95" s="2"/>
    </row>
    <row r="96">
      <c r="I96" s="2"/>
    </row>
    <row r="97">
      <c r="I97" s="2"/>
    </row>
    <row r="98">
      <c r="I98" s="2"/>
    </row>
    <row r="99">
      <c r="I99" s="2"/>
    </row>
    <row r="100">
      <c r="I100" s="2"/>
    </row>
    <row r="101">
      <c r="I101" s="2"/>
    </row>
    <row r="102">
      <c r="I102" s="2"/>
    </row>
    <row r="103">
      <c r="I103" s="2"/>
    </row>
    <row r="104">
      <c r="I104" s="2"/>
    </row>
    <row r="105">
      <c r="I105" s="2"/>
    </row>
    <row r="106">
      <c r="I106" s="2"/>
    </row>
    <row r="107">
      <c r="I107" s="2"/>
    </row>
    <row r="108">
      <c r="I108" s="2"/>
    </row>
    <row r="109">
      <c r="I109" s="2"/>
    </row>
    <row r="110">
      <c r="I110" s="2"/>
    </row>
    <row r="111">
      <c r="I111" s="2"/>
    </row>
    <row r="112">
      <c r="I112" s="2"/>
    </row>
    <row r="113">
      <c r="I113" s="2"/>
    </row>
    <row r="114">
      <c r="I114" s="2"/>
    </row>
    <row r="115">
      <c r="I115" s="2"/>
    </row>
    <row r="116">
      <c r="I116" s="2"/>
    </row>
    <row r="117">
      <c r="I117" s="2"/>
    </row>
    <row r="118">
      <c r="I118" s="2"/>
    </row>
    <row r="119">
      <c r="I119" s="2"/>
    </row>
    <row r="120">
      <c r="I120" s="2"/>
    </row>
    <row r="121">
      <c r="I121" s="2"/>
    </row>
    <row r="122">
      <c r="I122" s="2"/>
    </row>
    <row r="123">
      <c r="I123" s="2"/>
    </row>
    <row r="124">
      <c r="I124" s="2"/>
    </row>
    <row r="125">
      <c r="I125" s="2"/>
    </row>
    <row r="126">
      <c r="I126" s="2"/>
    </row>
    <row r="127">
      <c r="I127" s="2"/>
    </row>
    <row r="128">
      <c r="I128" s="2"/>
    </row>
    <row r="129">
      <c r="I129" s="2"/>
    </row>
    <row r="130">
      <c r="I130" s="2"/>
    </row>
    <row r="131">
      <c r="I131" s="2"/>
    </row>
    <row r="132">
      <c r="I132" s="2"/>
    </row>
    <row r="133">
      <c r="I133" s="2"/>
    </row>
    <row r="134">
      <c r="I134" s="2"/>
    </row>
    <row r="135">
      <c r="I135" s="2"/>
    </row>
    <row r="136">
      <c r="I136" s="2"/>
    </row>
    <row r="137">
      <c r="I137" s="2"/>
    </row>
    <row r="138">
      <c r="I138" s="2"/>
    </row>
    <row r="139">
      <c r="I139" s="2"/>
    </row>
    <row r="140">
      <c r="I140" s="2"/>
    </row>
    <row r="141">
      <c r="I141" s="2"/>
    </row>
    <row r="142">
      <c r="I142" s="2"/>
    </row>
    <row r="143">
      <c r="I143" s="2"/>
    </row>
    <row r="144">
      <c r="I144" s="2"/>
    </row>
    <row r="145">
      <c r="I145" s="2"/>
    </row>
    <row r="146">
      <c r="I146" s="2"/>
    </row>
    <row r="147">
      <c r="I147" s="2"/>
    </row>
    <row r="148">
      <c r="I148" s="2"/>
    </row>
    <row r="149">
      <c r="I149" s="2"/>
    </row>
    <row r="150">
      <c r="I150" s="2"/>
    </row>
    <row r="151">
      <c r="I151" s="2"/>
    </row>
    <row r="152">
      <c r="I152" s="2"/>
    </row>
    <row r="153">
      <c r="I153" s="2"/>
    </row>
    <row r="154">
      <c r="I154" s="2"/>
    </row>
    <row r="155">
      <c r="I155" s="2"/>
    </row>
    <row r="156">
      <c r="I156" s="2"/>
    </row>
    <row r="157">
      <c r="I157" s="2"/>
    </row>
    <row r="158">
      <c r="I158" s="2"/>
    </row>
    <row r="159">
      <c r="I159" s="2"/>
    </row>
    <row r="160">
      <c r="I160" s="2"/>
    </row>
    <row r="161">
      <c r="I161" s="2"/>
    </row>
    <row r="162">
      <c r="I162" s="2"/>
    </row>
    <row r="163">
      <c r="I163" s="2"/>
    </row>
    <row r="164">
      <c r="I164" s="2"/>
    </row>
    <row r="165">
      <c r="I165" s="2"/>
    </row>
    <row r="166">
      <c r="I166" s="2"/>
    </row>
    <row r="167">
      <c r="I167" s="2"/>
    </row>
    <row r="168">
      <c r="I168" s="2"/>
    </row>
    <row r="169">
      <c r="I169" s="2"/>
    </row>
    <row r="170">
      <c r="I170" s="2"/>
    </row>
    <row r="171">
      <c r="I171" s="2"/>
    </row>
    <row r="172">
      <c r="I172" s="2"/>
    </row>
    <row r="173">
      <c r="I173" s="2"/>
    </row>
    <row r="174">
      <c r="I174" s="2"/>
    </row>
    <row r="175">
      <c r="I175" s="2"/>
    </row>
    <row r="176">
      <c r="I176" s="2"/>
    </row>
    <row r="177">
      <c r="I177" s="2"/>
    </row>
    <row r="178">
      <c r="I178" s="2"/>
    </row>
    <row r="179">
      <c r="I179" s="2"/>
    </row>
    <row r="180">
      <c r="I180" s="2"/>
    </row>
    <row r="181">
      <c r="I181" s="2"/>
    </row>
    <row r="182">
      <c r="I182" s="2"/>
    </row>
    <row r="183">
      <c r="I183" s="2"/>
    </row>
    <row r="184">
      <c r="I184" s="2"/>
    </row>
    <row r="185">
      <c r="I185" s="2"/>
    </row>
    <row r="186">
      <c r="I186" s="2"/>
    </row>
    <row r="187">
      <c r="I187" s="2"/>
    </row>
    <row r="188">
      <c r="I188" s="2"/>
    </row>
    <row r="189">
      <c r="I189" s="2"/>
    </row>
    <row r="190">
      <c r="I190" s="2"/>
    </row>
    <row r="191">
      <c r="I191" s="2"/>
    </row>
    <row r="192">
      <c r="I192" s="2"/>
    </row>
    <row r="193">
      <c r="I193" s="2"/>
    </row>
    <row r="194">
      <c r="I194" s="2"/>
    </row>
    <row r="195">
      <c r="I195" s="2"/>
    </row>
    <row r="196">
      <c r="I196" s="2"/>
    </row>
    <row r="197">
      <c r="I197" s="2"/>
    </row>
    <row r="198">
      <c r="I198" s="2"/>
    </row>
    <row r="199">
      <c r="I199" s="2"/>
    </row>
    <row r="200">
      <c r="I200" s="2"/>
    </row>
    <row r="201">
      <c r="I201" s="2"/>
    </row>
    <row r="202">
      <c r="I202" s="2"/>
    </row>
    <row r="203">
      <c r="I203" s="2"/>
    </row>
    <row r="204">
      <c r="I204" s="2"/>
    </row>
    <row r="205">
      <c r="I205" s="2"/>
    </row>
    <row r="206">
      <c r="I206" s="2"/>
    </row>
    <row r="207">
      <c r="I207" s="2"/>
    </row>
    <row r="208">
      <c r="I208" s="2"/>
    </row>
    <row r="209">
      <c r="I209" s="2"/>
    </row>
    <row r="210">
      <c r="I210" s="2"/>
    </row>
    <row r="211">
      <c r="I211" s="2"/>
    </row>
    <row r="212">
      <c r="I212" s="2"/>
    </row>
    <row r="213">
      <c r="I213" s="2"/>
    </row>
    <row r="214">
      <c r="I214" s="2"/>
    </row>
    <row r="215">
      <c r="I215" s="2"/>
    </row>
    <row r="216">
      <c r="I216" s="2"/>
    </row>
    <row r="217">
      <c r="I217" s="2"/>
    </row>
    <row r="218">
      <c r="I218" s="2"/>
    </row>
    <row r="219">
      <c r="I219" s="2"/>
    </row>
    <row r="220">
      <c r="I220" s="2"/>
    </row>
    <row r="221">
      <c r="I221" s="2"/>
    </row>
    <row r="222">
      <c r="I222" s="2"/>
    </row>
    <row r="223">
      <c r="I223" s="2"/>
    </row>
    <row r="224">
      <c r="I224" s="2"/>
    </row>
    <row r="225">
      <c r="I225" s="2"/>
    </row>
    <row r="226">
      <c r="I226" s="2"/>
    </row>
    <row r="227">
      <c r="I227" s="2"/>
    </row>
    <row r="228">
      <c r="I228" s="2"/>
    </row>
    <row r="229">
      <c r="I229" s="2"/>
    </row>
    <row r="230">
      <c r="I230" s="2"/>
    </row>
    <row r="231">
      <c r="I231" s="2"/>
    </row>
    <row r="232">
      <c r="I232" s="2"/>
    </row>
    <row r="233">
      <c r="I233" s="2"/>
    </row>
    <row r="234">
      <c r="I234" s="2"/>
    </row>
    <row r="235">
      <c r="I235" s="2"/>
    </row>
    <row r="236">
      <c r="I236" s="2"/>
    </row>
    <row r="237">
      <c r="I237" s="2"/>
    </row>
    <row r="238">
      <c r="I238" s="2"/>
    </row>
    <row r="239">
      <c r="I239" s="2"/>
    </row>
    <row r="240">
      <c r="I240" s="2"/>
    </row>
    <row r="241">
      <c r="I241" s="2"/>
    </row>
    <row r="242">
      <c r="I242" s="2"/>
    </row>
    <row r="243">
      <c r="I243" s="2"/>
    </row>
    <row r="244">
      <c r="I244" s="2"/>
    </row>
    <row r="245">
      <c r="I245" s="2"/>
    </row>
    <row r="246">
      <c r="I246" s="2"/>
    </row>
    <row r="247">
      <c r="I247" s="2"/>
    </row>
    <row r="248">
      <c r="I248" s="2"/>
    </row>
    <row r="249">
      <c r="I249" s="2"/>
    </row>
    <row r="250">
      <c r="I250" s="2"/>
    </row>
    <row r="251">
      <c r="I251" s="2"/>
    </row>
    <row r="252">
      <c r="I252" s="2"/>
    </row>
    <row r="253">
      <c r="I253" s="2"/>
    </row>
    <row r="254">
      <c r="I254" s="2"/>
    </row>
    <row r="255">
      <c r="I255" s="2"/>
    </row>
    <row r="256">
      <c r="I256" s="2"/>
    </row>
    <row r="257">
      <c r="I257" s="2"/>
    </row>
    <row r="258">
      <c r="I258" s="2"/>
    </row>
    <row r="259">
      <c r="I259" s="2"/>
    </row>
    <row r="260">
      <c r="I260" s="2"/>
    </row>
    <row r="261">
      <c r="I261" s="2"/>
    </row>
    <row r="262">
      <c r="I262" s="2"/>
    </row>
    <row r="263">
      <c r="I263" s="2"/>
    </row>
    <row r="264">
      <c r="I264" s="2"/>
    </row>
    <row r="265">
      <c r="I265" s="2"/>
    </row>
    <row r="266">
      <c r="I266" s="2"/>
    </row>
    <row r="267">
      <c r="I267" s="2"/>
    </row>
    <row r="268">
      <c r="I268" s="2"/>
    </row>
    <row r="269">
      <c r="I269" s="2"/>
    </row>
    <row r="270">
      <c r="I270" s="2"/>
    </row>
    <row r="271">
      <c r="I271" s="2"/>
    </row>
    <row r="272">
      <c r="I272" s="2"/>
    </row>
    <row r="273">
      <c r="I273" s="2"/>
    </row>
    <row r="274">
      <c r="I274" s="2"/>
    </row>
    <row r="275">
      <c r="I275" s="2"/>
    </row>
    <row r="276">
      <c r="I276" s="2"/>
    </row>
    <row r="277">
      <c r="I277" s="2"/>
    </row>
    <row r="278">
      <c r="I278" s="2"/>
    </row>
    <row r="279">
      <c r="I279" s="2"/>
    </row>
    <row r="280">
      <c r="I280" s="2"/>
    </row>
    <row r="281">
      <c r="I281" s="2"/>
    </row>
    <row r="282">
      <c r="I282" s="2"/>
    </row>
    <row r="283">
      <c r="I283" s="2"/>
    </row>
    <row r="284">
      <c r="I284" s="2"/>
    </row>
    <row r="285">
      <c r="I285" s="2"/>
    </row>
    <row r="286">
      <c r="I286" s="2"/>
    </row>
    <row r="287">
      <c r="I287" s="2"/>
    </row>
    <row r="288">
      <c r="I288" s="2"/>
    </row>
    <row r="289">
      <c r="I289" s="2"/>
    </row>
    <row r="290">
      <c r="I290" s="2"/>
    </row>
    <row r="291">
      <c r="I291" s="2"/>
    </row>
    <row r="292">
      <c r="I292" s="2"/>
    </row>
    <row r="293">
      <c r="I293" s="2"/>
    </row>
    <row r="294">
      <c r="I294" s="2"/>
    </row>
    <row r="295">
      <c r="I295" s="2"/>
    </row>
    <row r="296">
      <c r="I296" s="2"/>
    </row>
    <row r="297">
      <c r="I297" s="2"/>
    </row>
    <row r="298">
      <c r="I298" s="2"/>
    </row>
    <row r="299">
      <c r="I299" s="2"/>
    </row>
    <row r="300">
      <c r="I300" s="2"/>
    </row>
    <row r="301">
      <c r="I301" s="2"/>
    </row>
    <row r="302">
      <c r="I302" s="2"/>
    </row>
    <row r="303">
      <c r="I303" s="2"/>
    </row>
    <row r="304">
      <c r="I304" s="2"/>
    </row>
    <row r="305">
      <c r="I305" s="2"/>
    </row>
    <row r="306">
      <c r="I306" s="2"/>
    </row>
    <row r="307">
      <c r="I307" s="2"/>
    </row>
    <row r="308">
      <c r="I308" s="2"/>
    </row>
    <row r="309">
      <c r="I309" s="2"/>
    </row>
    <row r="310">
      <c r="I310" s="2"/>
    </row>
    <row r="311">
      <c r="I311" s="2"/>
    </row>
    <row r="312">
      <c r="I312" s="2"/>
    </row>
    <row r="313">
      <c r="I313" s="2"/>
    </row>
    <row r="314">
      <c r="I314" s="2"/>
    </row>
    <row r="315">
      <c r="I315" s="2"/>
    </row>
    <row r="316">
      <c r="I316" s="2"/>
    </row>
    <row r="317">
      <c r="I317" s="2"/>
    </row>
    <row r="318">
      <c r="I318" s="2"/>
    </row>
    <row r="319">
      <c r="I319" s="2"/>
    </row>
    <row r="320">
      <c r="I320" s="2"/>
    </row>
    <row r="321">
      <c r="I321" s="2"/>
    </row>
    <row r="322">
      <c r="I322" s="2"/>
    </row>
    <row r="323">
      <c r="I323" s="2"/>
    </row>
    <row r="324">
      <c r="I324" s="2"/>
    </row>
    <row r="325">
      <c r="I325" s="2"/>
    </row>
    <row r="326">
      <c r="I326" s="2"/>
    </row>
    <row r="327">
      <c r="I327" s="2"/>
    </row>
    <row r="328">
      <c r="I328" s="2"/>
    </row>
    <row r="329">
      <c r="I329" s="2"/>
    </row>
    <row r="330">
      <c r="I330" s="2"/>
    </row>
    <row r="331">
      <c r="I331" s="2"/>
    </row>
    <row r="332">
      <c r="I332" s="2"/>
    </row>
    <row r="333">
      <c r="I333" s="2"/>
    </row>
    <row r="334">
      <c r="I334" s="2"/>
    </row>
    <row r="335">
      <c r="I335" s="2"/>
    </row>
    <row r="336">
      <c r="I336" s="2"/>
    </row>
    <row r="337">
      <c r="I337" s="2"/>
    </row>
    <row r="338">
      <c r="I338" s="2"/>
    </row>
    <row r="339">
      <c r="I339" s="2"/>
    </row>
    <row r="340">
      <c r="I340" s="2"/>
    </row>
    <row r="341">
      <c r="I341" s="2"/>
    </row>
    <row r="342">
      <c r="I342" s="2"/>
    </row>
    <row r="343">
      <c r="I343" s="2"/>
    </row>
    <row r="344">
      <c r="I344" s="2"/>
    </row>
    <row r="345">
      <c r="I345" s="2"/>
    </row>
    <row r="346">
      <c r="I346" s="2"/>
    </row>
    <row r="347">
      <c r="I347" s="2"/>
    </row>
    <row r="348">
      <c r="I348" s="2"/>
    </row>
    <row r="349">
      <c r="I349" s="2"/>
    </row>
    <row r="350">
      <c r="I350" s="2"/>
    </row>
    <row r="351">
      <c r="I351" s="2"/>
    </row>
    <row r="352">
      <c r="I352" s="2"/>
    </row>
    <row r="353">
      <c r="I353" s="2"/>
    </row>
    <row r="354">
      <c r="I354" s="2"/>
    </row>
    <row r="355">
      <c r="I355" s="2"/>
    </row>
    <row r="356">
      <c r="I356" s="2"/>
    </row>
    <row r="357">
      <c r="I357" s="2"/>
    </row>
    <row r="358">
      <c r="I358" s="2"/>
    </row>
    <row r="359">
      <c r="I359" s="2"/>
    </row>
    <row r="360">
      <c r="I360" s="2"/>
    </row>
    <row r="361">
      <c r="I361" s="2"/>
    </row>
    <row r="362">
      <c r="I362" s="2"/>
    </row>
    <row r="363">
      <c r="I363" s="2"/>
    </row>
    <row r="364">
      <c r="I364" s="2"/>
    </row>
    <row r="365">
      <c r="I365" s="2"/>
    </row>
    <row r="366">
      <c r="I366" s="2"/>
    </row>
    <row r="367">
      <c r="I367" s="2"/>
    </row>
    <row r="368">
      <c r="I368" s="2"/>
    </row>
    <row r="369">
      <c r="I369" s="2"/>
    </row>
    <row r="370">
      <c r="I370" s="2"/>
    </row>
    <row r="371">
      <c r="I371" s="2"/>
    </row>
    <row r="372">
      <c r="I372" s="2"/>
    </row>
    <row r="373">
      <c r="I373" s="2"/>
    </row>
    <row r="374">
      <c r="I374" s="2"/>
    </row>
    <row r="375">
      <c r="I375" s="2"/>
    </row>
    <row r="376">
      <c r="I376" s="2"/>
    </row>
    <row r="377">
      <c r="I377" s="2"/>
    </row>
    <row r="378">
      <c r="I378" s="2"/>
    </row>
    <row r="379">
      <c r="I379" s="2"/>
    </row>
    <row r="380">
      <c r="I380" s="2"/>
    </row>
    <row r="381">
      <c r="I381" s="2"/>
    </row>
    <row r="382">
      <c r="I382" s="2"/>
    </row>
    <row r="383">
      <c r="I383" s="2"/>
    </row>
    <row r="384">
      <c r="I384" s="2"/>
    </row>
    <row r="385">
      <c r="I385" s="2"/>
    </row>
    <row r="386">
      <c r="I386" s="2"/>
    </row>
    <row r="387">
      <c r="I387" s="2"/>
    </row>
    <row r="388">
      <c r="I388" s="2"/>
    </row>
    <row r="389">
      <c r="I389" s="2"/>
    </row>
    <row r="390">
      <c r="I390" s="2"/>
    </row>
    <row r="391">
      <c r="I391" s="2"/>
    </row>
    <row r="392">
      <c r="I392" s="2"/>
    </row>
    <row r="393">
      <c r="I393" s="2"/>
    </row>
    <row r="394">
      <c r="I394" s="2"/>
    </row>
    <row r="395">
      <c r="I395" s="2"/>
    </row>
    <row r="396">
      <c r="I396" s="2"/>
    </row>
    <row r="397">
      <c r="I397" s="2"/>
    </row>
    <row r="398">
      <c r="I398" s="2"/>
    </row>
    <row r="399">
      <c r="I399" s="2"/>
    </row>
    <row r="400">
      <c r="I400" s="2"/>
    </row>
    <row r="401">
      <c r="I401" s="2"/>
    </row>
    <row r="402">
      <c r="I402" s="2"/>
    </row>
    <row r="403">
      <c r="I403" s="2"/>
    </row>
    <row r="404">
      <c r="I404" s="2"/>
    </row>
    <row r="405">
      <c r="I405" s="2"/>
    </row>
    <row r="406">
      <c r="I406" s="2"/>
    </row>
    <row r="407">
      <c r="I407" s="2"/>
    </row>
    <row r="408">
      <c r="I408" s="2"/>
    </row>
    <row r="409">
      <c r="I409" s="2"/>
    </row>
    <row r="410">
      <c r="I410" s="2"/>
    </row>
    <row r="411">
      <c r="I411" s="2"/>
    </row>
    <row r="412">
      <c r="I412" s="2"/>
    </row>
    <row r="413">
      <c r="I413" s="2"/>
    </row>
    <row r="414">
      <c r="I414" s="2"/>
    </row>
    <row r="415">
      <c r="I415" s="2"/>
    </row>
    <row r="416">
      <c r="I416" s="2"/>
    </row>
    <row r="417">
      <c r="I417" s="2"/>
    </row>
    <row r="418">
      <c r="I418" s="2"/>
    </row>
    <row r="419">
      <c r="I419" s="2"/>
    </row>
    <row r="420">
      <c r="I420" s="2"/>
    </row>
    <row r="421">
      <c r="I421" s="2"/>
    </row>
    <row r="422">
      <c r="I422" s="2"/>
    </row>
    <row r="423">
      <c r="I423" s="2"/>
    </row>
    <row r="424">
      <c r="I424" s="2"/>
    </row>
    <row r="425">
      <c r="I425" s="2"/>
    </row>
    <row r="426">
      <c r="I426" s="2"/>
    </row>
    <row r="427">
      <c r="I427" s="2"/>
    </row>
    <row r="428">
      <c r="I428" s="2"/>
    </row>
    <row r="429">
      <c r="I429" s="2"/>
    </row>
    <row r="430">
      <c r="I430" s="2"/>
    </row>
    <row r="431">
      <c r="I431" s="2"/>
    </row>
    <row r="432">
      <c r="I432" s="2"/>
    </row>
    <row r="433">
      <c r="I433" s="2"/>
    </row>
    <row r="434">
      <c r="I434" s="2"/>
    </row>
    <row r="435">
      <c r="I435" s="2"/>
    </row>
    <row r="436">
      <c r="I436" s="2"/>
    </row>
    <row r="437">
      <c r="I437" s="2"/>
    </row>
    <row r="438">
      <c r="I438" s="2"/>
    </row>
    <row r="439">
      <c r="I439" s="2"/>
    </row>
    <row r="440">
      <c r="I440" s="2"/>
    </row>
    <row r="441">
      <c r="I441" s="2"/>
    </row>
    <row r="442">
      <c r="I442" s="2"/>
    </row>
    <row r="443">
      <c r="I443" s="2"/>
    </row>
    <row r="444">
      <c r="I444" s="2"/>
    </row>
    <row r="445">
      <c r="I445" s="2"/>
    </row>
    <row r="446">
      <c r="I446" s="2"/>
    </row>
    <row r="447">
      <c r="I447" s="2"/>
    </row>
    <row r="448">
      <c r="I448" s="2"/>
    </row>
    <row r="449">
      <c r="I449" s="2"/>
    </row>
    <row r="450">
      <c r="I450" s="2"/>
    </row>
    <row r="451">
      <c r="I451" s="2"/>
    </row>
    <row r="452">
      <c r="I452" s="2"/>
    </row>
    <row r="453">
      <c r="I453" s="2"/>
    </row>
    <row r="454">
      <c r="I454" s="2"/>
    </row>
    <row r="455">
      <c r="I455" s="2"/>
    </row>
    <row r="456">
      <c r="I456" s="2"/>
    </row>
    <row r="457">
      <c r="I457" s="2"/>
    </row>
    <row r="458">
      <c r="I458" s="2"/>
    </row>
    <row r="459">
      <c r="I459" s="2"/>
    </row>
    <row r="460">
      <c r="I460" s="2"/>
    </row>
    <row r="461">
      <c r="I461" s="2"/>
    </row>
    <row r="462">
      <c r="I462" s="2"/>
    </row>
    <row r="463">
      <c r="I463" s="2"/>
    </row>
    <row r="464">
      <c r="I464" s="2"/>
    </row>
    <row r="465">
      <c r="I465" s="2"/>
    </row>
    <row r="466">
      <c r="I466" s="2"/>
    </row>
    <row r="467">
      <c r="I467" s="2"/>
    </row>
    <row r="468">
      <c r="I468" s="2"/>
    </row>
    <row r="469">
      <c r="I469" s="2"/>
    </row>
    <row r="470">
      <c r="I470" s="2"/>
    </row>
    <row r="471">
      <c r="I471" s="2"/>
    </row>
    <row r="472">
      <c r="I472" s="2"/>
    </row>
    <row r="473">
      <c r="I473" s="2"/>
    </row>
    <row r="474">
      <c r="I474" s="2"/>
    </row>
    <row r="475">
      <c r="I475" s="2"/>
    </row>
    <row r="476">
      <c r="I476" s="2"/>
    </row>
    <row r="477">
      <c r="I477" s="2"/>
    </row>
    <row r="478">
      <c r="I478" s="2"/>
    </row>
    <row r="479">
      <c r="I479" s="2"/>
    </row>
    <row r="480">
      <c r="I480" s="2"/>
    </row>
    <row r="481">
      <c r="I481" s="2"/>
    </row>
    <row r="482">
      <c r="I482" s="2"/>
    </row>
    <row r="483">
      <c r="I483" s="2"/>
    </row>
    <row r="484">
      <c r="I484" s="2"/>
    </row>
    <row r="485">
      <c r="I485" s="2"/>
    </row>
    <row r="486">
      <c r="I486" s="2"/>
    </row>
    <row r="487">
      <c r="I487" s="2"/>
    </row>
    <row r="488">
      <c r="I488" s="2"/>
    </row>
    <row r="489">
      <c r="I489" s="2"/>
    </row>
    <row r="490">
      <c r="I490" s="2"/>
    </row>
    <row r="491">
      <c r="I491" s="2"/>
    </row>
    <row r="492">
      <c r="I492" s="2"/>
    </row>
    <row r="493">
      <c r="I493" s="2"/>
    </row>
    <row r="494">
      <c r="I494" s="2"/>
    </row>
    <row r="495">
      <c r="I495" s="2"/>
    </row>
    <row r="496">
      <c r="I496" s="2"/>
    </row>
    <row r="497">
      <c r="I497" s="2"/>
    </row>
    <row r="498">
      <c r="I498" s="2"/>
    </row>
    <row r="499">
      <c r="I499" s="2"/>
    </row>
    <row r="500">
      <c r="I500" s="2"/>
    </row>
    <row r="501">
      <c r="I501" s="2"/>
    </row>
    <row r="502">
      <c r="I502" s="2"/>
    </row>
    <row r="503">
      <c r="I503" s="2"/>
    </row>
    <row r="504">
      <c r="I504" s="2"/>
    </row>
    <row r="505">
      <c r="I505" s="2"/>
    </row>
    <row r="506">
      <c r="I506" s="2"/>
    </row>
    <row r="507">
      <c r="I507" s="2"/>
    </row>
    <row r="508">
      <c r="I508" s="2"/>
    </row>
    <row r="509">
      <c r="I509" s="2"/>
    </row>
    <row r="510">
      <c r="I510" s="2"/>
    </row>
    <row r="511">
      <c r="I511" s="2"/>
    </row>
    <row r="512">
      <c r="I512" s="2"/>
    </row>
    <row r="513">
      <c r="I513" s="2"/>
    </row>
    <row r="514">
      <c r="I514" s="2"/>
    </row>
    <row r="515">
      <c r="I515" s="2"/>
    </row>
    <row r="516">
      <c r="I516" s="2"/>
    </row>
    <row r="517">
      <c r="I517" s="2"/>
    </row>
    <row r="518">
      <c r="I518" s="2"/>
    </row>
    <row r="519">
      <c r="I519" s="2"/>
    </row>
    <row r="520">
      <c r="I520" s="2"/>
    </row>
    <row r="521">
      <c r="I521" s="2"/>
    </row>
    <row r="522">
      <c r="I522" s="2"/>
    </row>
    <row r="523">
      <c r="I523" s="2"/>
    </row>
    <row r="524">
      <c r="I524" s="2"/>
    </row>
    <row r="525">
      <c r="I525" s="2"/>
    </row>
    <row r="526">
      <c r="I526" s="2"/>
    </row>
    <row r="527">
      <c r="I527" s="2"/>
    </row>
    <row r="528">
      <c r="I528" s="2"/>
    </row>
    <row r="529">
      <c r="I529" s="2"/>
    </row>
    <row r="530">
      <c r="I530" s="2"/>
    </row>
    <row r="531">
      <c r="I531" s="2"/>
    </row>
    <row r="532">
      <c r="I532" s="2"/>
    </row>
    <row r="533">
      <c r="I533" s="2"/>
    </row>
    <row r="534">
      <c r="I534" s="2"/>
    </row>
    <row r="535">
      <c r="I535" s="2"/>
    </row>
    <row r="536">
      <c r="I536" s="2"/>
    </row>
    <row r="537">
      <c r="I537" s="2"/>
    </row>
    <row r="538">
      <c r="I538" s="2"/>
    </row>
    <row r="539">
      <c r="I539" s="2"/>
    </row>
    <row r="540">
      <c r="I540" s="2"/>
    </row>
    <row r="541">
      <c r="I541" s="2"/>
    </row>
    <row r="542">
      <c r="I542" s="2"/>
    </row>
    <row r="543">
      <c r="I543" s="2"/>
    </row>
    <row r="544">
      <c r="I544" s="2"/>
    </row>
    <row r="545">
      <c r="I545" s="2"/>
    </row>
    <row r="546">
      <c r="I546" s="2"/>
    </row>
    <row r="547">
      <c r="I547" s="2"/>
    </row>
    <row r="548">
      <c r="I548" s="2"/>
    </row>
    <row r="549">
      <c r="I549" s="2"/>
    </row>
    <row r="550">
      <c r="I550" s="2"/>
    </row>
    <row r="551">
      <c r="I551" s="2"/>
    </row>
    <row r="552">
      <c r="I552" s="2"/>
    </row>
    <row r="553">
      <c r="I553" s="2"/>
    </row>
    <row r="554">
      <c r="I554" s="2"/>
    </row>
    <row r="555">
      <c r="I555" s="2"/>
    </row>
    <row r="556">
      <c r="I556" s="2"/>
    </row>
    <row r="557">
      <c r="I557" s="2"/>
    </row>
    <row r="558">
      <c r="I558" s="2"/>
    </row>
    <row r="559">
      <c r="I559" s="2"/>
    </row>
    <row r="560">
      <c r="I560" s="2"/>
    </row>
    <row r="561">
      <c r="I561" s="2"/>
    </row>
    <row r="562">
      <c r="I562" s="2"/>
    </row>
    <row r="563">
      <c r="I563" s="2"/>
    </row>
    <row r="564">
      <c r="I564" s="2"/>
    </row>
    <row r="565">
      <c r="I565" s="2"/>
    </row>
    <row r="566">
      <c r="I566" s="2"/>
    </row>
    <row r="567">
      <c r="I567" s="2"/>
    </row>
    <row r="568">
      <c r="I568" s="2"/>
    </row>
    <row r="569">
      <c r="I569" s="2"/>
    </row>
    <row r="570">
      <c r="I570" s="2"/>
    </row>
    <row r="571">
      <c r="I571" s="2"/>
    </row>
    <row r="572">
      <c r="I572" s="2"/>
    </row>
    <row r="573">
      <c r="I573" s="2"/>
    </row>
    <row r="574">
      <c r="I574" s="2"/>
    </row>
    <row r="575">
      <c r="I575" s="2"/>
    </row>
    <row r="576">
      <c r="I576" s="2"/>
    </row>
    <row r="577">
      <c r="I577" s="2"/>
    </row>
    <row r="578">
      <c r="I578" s="2"/>
    </row>
    <row r="579">
      <c r="I579" s="2"/>
    </row>
    <row r="580">
      <c r="I580" s="2"/>
    </row>
    <row r="581">
      <c r="I581" s="2"/>
    </row>
    <row r="582">
      <c r="I582" s="2"/>
    </row>
    <row r="583">
      <c r="I583" s="2"/>
    </row>
    <row r="584">
      <c r="I584" s="2"/>
    </row>
    <row r="585">
      <c r="I585" s="2"/>
    </row>
    <row r="586">
      <c r="I586" s="2"/>
    </row>
    <row r="587">
      <c r="I587" s="2"/>
    </row>
    <row r="588">
      <c r="I588" s="2"/>
    </row>
    <row r="589">
      <c r="I589" s="2"/>
    </row>
    <row r="590">
      <c r="I590" s="2"/>
    </row>
    <row r="591">
      <c r="I591" s="2"/>
    </row>
    <row r="592">
      <c r="I592" s="2"/>
    </row>
    <row r="593">
      <c r="I593" s="2"/>
    </row>
    <row r="594">
      <c r="I594" s="2"/>
    </row>
    <row r="595">
      <c r="I595" s="2"/>
    </row>
    <row r="596">
      <c r="I596" s="2"/>
    </row>
    <row r="597">
      <c r="I597" s="2"/>
    </row>
    <row r="598">
      <c r="I598" s="2"/>
    </row>
    <row r="599">
      <c r="I599" s="2"/>
    </row>
    <row r="600">
      <c r="I600" s="2"/>
    </row>
    <row r="601">
      <c r="I601" s="2"/>
    </row>
    <row r="602">
      <c r="I602" s="2"/>
    </row>
    <row r="603">
      <c r="I603" s="2"/>
    </row>
    <row r="604">
      <c r="I604" s="2"/>
    </row>
    <row r="605">
      <c r="I605" s="2"/>
    </row>
    <row r="606">
      <c r="I606" s="2"/>
    </row>
    <row r="607">
      <c r="I607" s="2"/>
    </row>
    <row r="608">
      <c r="I608" s="2"/>
    </row>
    <row r="609">
      <c r="I609" s="2"/>
    </row>
    <row r="610">
      <c r="I610" s="2"/>
    </row>
    <row r="611">
      <c r="I611" s="2"/>
    </row>
    <row r="612">
      <c r="I612" s="2"/>
    </row>
    <row r="613">
      <c r="I613" s="2"/>
    </row>
    <row r="614">
      <c r="I614" s="2"/>
    </row>
    <row r="615">
      <c r="I615" s="2"/>
    </row>
    <row r="616">
      <c r="I616" s="2"/>
    </row>
    <row r="617">
      <c r="I617" s="2"/>
    </row>
    <row r="618">
      <c r="I618" s="2"/>
    </row>
    <row r="619">
      <c r="I619" s="2"/>
    </row>
    <row r="620">
      <c r="I620" s="2"/>
    </row>
    <row r="621">
      <c r="I621" s="2"/>
    </row>
    <row r="622">
      <c r="I622" s="2"/>
    </row>
    <row r="623">
      <c r="I623" s="2"/>
    </row>
    <row r="624">
      <c r="I624" s="2"/>
    </row>
    <row r="625">
      <c r="I625" s="2"/>
    </row>
    <row r="626">
      <c r="I626" s="2"/>
    </row>
    <row r="627">
      <c r="I627" s="2"/>
    </row>
    <row r="628">
      <c r="I628" s="2"/>
    </row>
    <row r="629">
      <c r="I629" s="2"/>
    </row>
    <row r="630">
      <c r="I630" s="2"/>
    </row>
    <row r="631">
      <c r="I631" s="2"/>
    </row>
    <row r="632">
      <c r="I632" s="2"/>
    </row>
    <row r="633">
      <c r="I633" s="2"/>
    </row>
    <row r="634">
      <c r="I634" s="2"/>
    </row>
    <row r="635">
      <c r="I635" s="2"/>
    </row>
    <row r="636">
      <c r="I636" s="2"/>
    </row>
    <row r="637">
      <c r="I637" s="2"/>
    </row>
    <row r="638">
      <c r="I638" s="2"/>
    </row>
    <row r="639">
      <c r="I639" s="2"/>
    </row>
    <row r="640">
      <c r="I640" s="2"/>
    </row>
    <row r="641">
      <c r="I641" s="2"/>
    </row>
    <row r="642">
      <c r="I642" s="2"/>
    </row>
    <row r="643">
      <c r="I643" s="2"/>
    </row>
    <row r="644">
      <c r="I644" s="2"/>
    </row>
    <row r="645">
      <c r="I645" s="2"/>
    </row>
    <row r="646">
      <c r="I646" s="2"/>
    </row>
    <row r="647">
      <c r="I647" s="2"/>
    </row>
    <row r="648">
      <c r="I648" s="2"/>
    </row>
    <row r="649">
      <c r="I649" s="2"/>
    </row>
    <row r="650">
      <c r="I650" s="2"/>
    </row>
    <row r="651">
      <c r="I651" s="2"/>
    </row>
    <row r="652">
      <c r="I652" s="2"/>
    </row>
    <row r="653">
      <c r="I653" s="2"/>
    </row>
    <row r="654">
      <c r="I654" s="2"/>
    </row>
    <row r="655">
      <c r="I655" s="2"/>
    </row>
    <row r="656">
      <c r="I656" s="2"/>
    </row>
    <row r="657">
      <c r="I657" s="2"/>
    </row>
    <row r="658">
      <c r="I658" s="2"/>
    </row>
    <row r="659">
      <c r="I659" s="2"/>
    </row>
    <row r="660">
      <c r="I660" s="2"/>
    </row>
    <row r="661">
      <c r="I661" s="2"/>
    </row>
    <row r="662">
      <c r="I662" s="2"/>
    </row>
    <row r="663">
      <c r="I663" s="2"/>
    </row>
    <row r="664">
      <c r="I664" s="2"/>
    </row>
    <row r="665">
      <c r="I665" s="2"/>
    </row>
    <row r="666">
      <c r="I666" s="2"/>
    </row>
    <row r="667">
      <c r="I667" s="2"/>
    </row>
    <row r="668">
      <c r="I668" s="2"/>
    </row>
    <row r="669">
      <c r="I669" s="2"/>
    </row>
    <row r="670">
      <c r="I670" s="2"/>
    </row>
    <row r="671">
      <c r="I671" s="2"/>
    </row>
    <row r="672">
      <c r="I672" s="2"/>
    </row>
    <row r="673">
      <c r="I673" s="2"/>
    </row>
    <row r="674">
      <c r="I674" s="2"/>
    </row>
    <row r="675">
      <c r="I675" s="2"/>
    </row>
    <row r="676">
      <c r="I676" s="2"/>
    </row>
    <row r="677">
      <c r="I677" s="2"/>
    </row>
    <row r="678">
      <c r="I678" s="2"/>
    </row>
    <row r="679">
      <c r="I679" s="2"/>
    </row>
    <row r="680">
      <c r="I680" s="2"/>
    </row>
    <row r="681">
      <c r="I681" s="2"/>
    </row>
    <row r="682">
      <c r="I682" s="2"/>
    </row>
    <row r="683">
      <c r="I683" s="2"/>
    </row>
    <row r="684">
      <c r="I684" s="2"/>
    </row>
    <row r="685">
      <c r="I685" s="2"/>
    </row>
    <row r="686">
      <c r="I686" s="2"/>
    </row>
    <row r="687">
      <c r="I687" s="2"/>
    </row>
    <row r="688">
      <c r="I688" s="2"/>
    </row>
    <row r="689">
      <c r="I689" s="2"/>
    </row>
    <row r="690">
      <c r="I690" s="2"/>
    </row>
    <row r="691">
      <c r="I691" s="2"/>
    </row>
    <row r="692">
      <c r="I692" s="2"/>
    </row>
    <row r="693">
      <c r="I693" s="2"/>
    </row>
    <row r="694">
      <c r="I694" s="2"/>
    </row>
    <row r="695">
      <c r="I695" s="2"/>
    </row>
    <row r="696">
      <c r="I696" s="2"/>
    </row>
    <row r="697">
      <c r="I697" s="2"/>
    </row>
    <row r="698">
      <c r="I698" s="2"/>
    </row>
    <row r="699">
      <c r="I699" s="2"/>
    </row>
    <row r="700">
      <c r="I700" s="2"/>
    </row>
    <row r="701">
      <c r="I701" s="2"/>
    </row>
    <row r="702">
      <c r="I702" s="2"/>
    </row>
    <row r="703">
      <c r="I703" s="2"/>
    </row>
    <row r="704">
      <c r="I704" s="2"/>
    </row>
    <row r="705">
      <c r="I705" s="2"/>
    </row>
    <row r="706">
      <c r="I706" s="2"/>
    </row>
    <row r="707">
      <c r="I707" s="2"/>
    </row>
    <row r="708">
      <c r="I708" s="2"/>
    </row>
    <row r="709">
      <c r="I709" s="2"/>
    </row>
    <row r="710">
      <c r="I710" s="2"/>
    </row>
    <row r="711">
      <c r="I711" s="2"/>
    </row>
    <row r="712">
      <c r="I712" s="2"/>
    </row>
    <row r="713">
      <c r="I713" s="2"/>
    </row>
    <row r="714">
      <c r="I714" s="2"/>
    </row>
    <row r="715">
      <c r="I715" s="2"/>
    </row>
    <row r="716">
      <c r="I716" s="2"/>
    </row>
    <row r="717">
      <c r="I717" s="2"/>
    </row>
    <row r="718">
      <c r="I718" s="2"/>
    </row>
    <row r="719">
      <c r="I719" s="2"/>
    </row>
    <row r="720">
      <c r="I720" s="2"/>
    </row>
    <row r="721">
      <c r="I721" s="2"/>
    </row>
    <row r="722">
      <c r="I722" s="2"/>
    </row>
    <row r="723">
      <c r="I723" s="2"/>
    </row>
    <row r="724">
      <c r="I724" s="2"/>
    </row>
    <row r="725">
      <c r="I725" s="2"/>
    </row>
    <row r="726">
      <c r="I726" s="2"/>
    </row>
    <row r="727">
      <c r="I727" s="2"/>
    </row>
    <row r="728">
      <c r="I728" s="2"/>
    </row>
    <row r="729">
      <c r="I729" s="2"/>
    </row>
    <row r="730">
      <c r="I730" s="2"/>
    </row>
    <row r="731">
      <c r="I731" s="2"/>
    </row>
    <row r="732">
      <c r="I732" s="2"/>
    </row>
    <row r="733">
      <c r="I733" s="2"/>
    </row>
    <row r="734">
      <c r="I734" s="2"/>
    </row>
    <row r="735">
      <c r="I735" s="2"/>
    </row>
    <row r="736">
      <c r="I736" s="2"/>
    </row>
    <row r="737">
      <c r="I737" s="2"/>
    </row>
    <row r="738">
      <c r="I738" s="2"/>
    </row>
    <row r="739">
      <c r="I739" s="2"/>
    </row>
    <row r="740">
      <c r="I740" s="2"/>
    </row>
    <row r="741">
      <c r="I741" s="2"/>
    </row>
    <row r="742">
      <c r="I742" s="2"/>
    </row>
    <row r="743">
      <c r="I743" s="2"/>
    </row>
    <row r="744">
      <c r="I744" s="2"/>
    </row>
    <row r="745">
      <c r="I745" s="2"/>
    </row>
    <row r="746">
      <c r="I746" s="2"/>
    </row>
    <row r="747">
      <c r="I747" s="2"/>
    </row>
    <row r="748">
      <c r="I748" s="2"/>
    </row>
    <row r="749">
      <c r="I749" s="2"/>
    </row>
    <row r="750">
      <c r="I750" s="2"/>
    </row>
    <row r="751">
      <c r="I751" s="2"/>
    </row>
    <row r="752">
      <c r="I752" s="2"/>
    </row>
    <row r="753">
      <c r="I753" s="2"/>
    </row>
    <row r="754">
      <c r="I754" s="2"/>
    </row>
    <row r="755">
      <c r="I755" s="2"/>
    </row>
    <row r="756">
      <c r="I756" s="2"/>
    </row>
    <row r="757">
      <c r="I757" s="2"/>
    </row>
    <row r="758">
      <c r="I758" s="2"/>
    </row>
    <row r="759">
      <c r="I759" s="2"/>
    </row>
    <row r="760">
      <c r="I760" s="2"/>
    </row>
    <row r="761">
      <c r="I761" s="2"/>
    </row>
    <row r="762">
      <c r="I762" s="2"/>
    </row>
    <row r="763">
      <c r="I763" s="2"/>
    </row>
    <row r="764">
      <c r="I764" s="2"/>
    </row>
    <row r="765">
      <c r="I765" s="2"/>
    </row>
    <row r="766">
      <c r="I766" s="2"/>
    </row>
    <row r="767">
      <c r="I767" s="2"/>
    </row>
    <row r="768">
      <c r="I768" s="2"/>
    </row>
    <row r="769">
      <c r="I769" s="2"/>
    </row>
    <row r="770">
      <c r="I770" s="2"/>
    </row>
    <row r="771">
      <c r="I771" s="2"/>
    </row>
    <row r="772">
      <c r="I772" s="2"/>
    </row>
    <row r="773">
      <c r="I773" s="2"/>
    </row>
    <row r="774">
      <c r="I774" s="2"/>
    </row>
    <row r="775">
      <c r="I775" s="2"/>
    </row>
    <row r="776">
      <c r="I776" s="2"/>
    </row>
    <row r="777">
      <c r="I777" s="2"/>
    </row>
    <row r="778">
      <c r="I778" s="2"/>
    </row>
    <row r="779">
      <c r="I779" s="2"/>
    </row>
    <row r="780">
      <c r="I780" s="2"/>
    </row>
    <row r="781">
      <c r="I781" s="2"/>
    </row>
    <row r="782">
      <c r="I782" s="2"/>
    </row>
    <row r="783">
      <c r="I783" s="2"/>
    </row>
    <row r="784">
      <c r="I784" s="2"/>
    </row>
    <row r="785">
      <c r="I785" s="2"/>
    </row>
    <row r="786">
      <c r="I786" s="2"/>
    </row>
    <row r="787">
      <c r="I787" s="2"/>
    </row>
    <row r="788">
      <c r="I788" s="2"/>
    </row>
    <row r="789">
      <c r="I789" s="2"/>
    </row>
    <row r="790">
      <c r="I790" s="2"/>
    </row>
    <row r="791">
      <c r="I791" s="2"/>
    </row>
    <row r="792">
      <c r="I792" s="2"/>
    </row>
    <row r="793">
      <c r="I793" s="2"/>
    </row>
    <row r="794">
      <c r="I794" s="2"/>
    </row>
    <row r="795">
      <c r="I795" s="2"/>
    </row>
    <row r="796">
      <c r="I796" s="2"/>
    </row>
    <row r="797">
      <c r="I797" s="2"/>
    </row>
    <row r="798">
      <c r="I798" s="2"/>
    </row>
    <row r="799">
      <c r="I799" s="2"/>
    </row>
    <row r="800">
      <c r="I800" s="2"/>
    </row>
    <row r="801">
      <c r="I801" s="2"/>
    </row>
    <row r="802">
      <c r="I802" s="2"/>
    </row>
    <row r="803">
      <c r="I803" s="2"/>
    </row>
    <row r="804">
      <c r="I804" s="2"/>
    </row>
    <row r="805">
      <c r="I805" s="2"/>
    </row>
    <row r="806">
      <c r="I806" s="2"/>
    </row>
    <row r="807">
      <c r="I807" s="2"/>
    </row>
    <row r="808">
      <c r="I808" s="2"/>
    </row>
    <row r="809">
      <c r="I809" s="2"/>
    </row>
    <row r="810">
      <c r="I810" s="2"/>
    </row>
    <row r="811">
      <c r="I811" s="2"/>
    </row>
    <row r="812">
      <c r="I812" s="2"/>
    </row>
    <row r="813">
      <c r="I813" s="2"/>
    </row>
    <row r="814">
      <c r="I814" s="2"/>
    </row>
    <row r="815">
      <c r="I815" s="2"/>
    </row>
    <row r="816">
      <c r="I816" s="2"/>
    </row>
    <row r="817">
      <c r="I817" s="2"/>
    </row>
    <row r="818">
      <c r="I818" s="2"/>
    </row>
    <row r="819">
      <c r="I819" s="2"/>
    </row>
    <row r="820">
      <c r="I820" s="2"/>
    </row>
    <row r="821">
      <c r="I821" s="2"/>
    </row>
    <row r="822">
      <c r="I822" s="2"/>
    </row>
    <row r="823">
      <c r="I823" s="2"/>
    </row>
    <row r="824">
      <c r="I824" s="2"/>
    </row>
    <row r="825">
      <c r="I825" s="2"/>
    </row>
    <row r="826">
      <c r="I826" s="2"/>
    </row>
    <row r="827">
      <c r="I827" s="2"/>
    </row>
    <row r="828">
      <c r="I828" s="2"/>
    </row>
    <row r="829">
      <c r="I829" s="2"/>
    </row>
    <row r="830">
      <c r="I830" s="2"/>
    </row>
    <row r="831">
      <c r="I831" s="2"/>
    </row>
    <row r="832">
      <c r="I832" s="2"/>
    </row>
    <row r="833">
      <c r="I833" s="2"/>
    </row>
    <row r="834">
      <c r="I834" s="2"/>
    </row>
    <row r="835">
      <c r="I835" s="2"/>
    </row>
    <row r="836">
      <c r="I836" s="2"/>
    </row>
    <row r="837">
      <c r="I837" s="2"/>
    </row>
    <row r="838">
      <c r="I838" s="2"/>
    </row>
    <row r="839">
      <c r="I839" s="2"/>
    </row>
    <row r="840">
      <c r="I840" s="2"/>
    </row>
    <row r="841">
      <c r="I841" s="2"/>
    </row>
    <row r="842">
      <c r="I842" s="2"/>
    </row>
    <row r="843">
      <c r="I843" s="2"/>
    </row>
    <row r="844">
      <c r="I844" s="2"/>
    </row>
    <row r="845">
      <c r="I845" s="2"/>
    </row>
    <row r="846">
      <c r="I846" s="2"/>
    </row>
    <row r="847">
      <c r="I847" s="2"/>
    </row>
    <row r="848">
      <c r="I848" s="2"/>
    </row>
    <row r="849">
      <c r="I849" s="2"/>
    </row>
    <row r="850">
      <c r="I850" s="2"/>
    </row>
    <row r="851">
      <c r="I851" s="2"/>
    </row>
    <row r="852">
      <c r="I852" s="2"/>
    </row>
    <row r="853">
      <c r="I853" s="2"/>
    </row>
    <row r="854">
      <c r="I854" s="2"/>
    </row>
    <row r="855">
      <c r="I855" s="2"/>
    </row>
    <row r="856">
      <c r="I856" s="2"/>
    </row>
    <row r="857">
      <c r="I857" s="2"/>
    </row>
    <row r="858">
      <c r="I858" s="2"/>
    </row>
    <row r="859">
      <c r="I859" s="2"/>
    </row>
    <row r="860">
      <c r="I860" s="2"/>
    </row>
    <row r="861">
      <c r="I861" s="2"/>
    </row>
    <row r="862">
      <c r="I862" s="2"/>
    </row>
    <row r="863">
      <c r="I863" s="2"/>
    </row>
    <row r="864">
      <c r="I864" s="2"/>
    </row>
    <row r="865">
      <c r="I865" s="2"/>
    </row>
    <row r="866">
      <c r="I866" s="2"/>
    </row>
    <row r="867">
      <c r="I867" s="2"/>
    </row>
    <row r="868">
      <c r="I868" s="2"/>
    </row>
    <row r="869">
      <c r="I869" s="2"/>
    </row>
    <row r="870">
      <c r="I870" s="2"/>
    </row>
    <row r="871">
      <c r="I871" s="2"/>
    </row>
    <row r="872">
      <c r="I872" s="2"/>
    </row>
    <row r="873">
      <c r="I873" s="2"/>
    </row>
    <row r="874">
      <c r="I874" s="2"/>
    </row>
    <row r="875">
      <c r="I875" s="2"/>
    </row>
    <row r="876">
      <c r="I876" s="2"/>
    </row>
    <row r="877">
      <c r="I877" s="2"/>
    </row>
    <row r="878">
      <c r="I878" s="2"/>
    </row>
    <row r="879">
      <c r="I879" s="2"/>
    </row>
    <row r="880">
      <c r="I880" s="2"/>
    </row>
    <row r="881">
      <c r="I881" s="2"/>
    </row>
    <row r="882">
      <c r="I882" s="2"/>
    </row>
    <row r="883">
      <c r="I883" s="2"/>
    </row>
    <row r="884">
      <c r="I884" s="2"/>
    </row>
    <row r="885">
      <c r="I885" s="2"/>
    </row>
    <row r="886">
      <c r="I886" s="2"/>
    </row>
    <row r="887">
      <c r="I887" s="2"/>
    </row>
    <row r="888">
      <c r="I888" s="2"/>
    </row>
    <row r="889">
      <c r="I889" s="2"/>
    </row>
    <row r="890">
      <c r="I890" s="2"/>
    </row>
    <row r="891">
      <c r="I891" s="2"/>
    </row>
    <row r="892">
      <c r="I892" s="2"/>
    </row>
    <row r="893">
      <c r="I893" s="2"/>
    </row>
    <row r="894">
      <c r="I894" s="2"/>
    </row>
    <row r="895">
      <c r="I895" s="2"/>
    </row>
    <row r="896">
      <c r="I896" s="2"/>
    </row>
    <row r="897">
      <c r="I897" s="2"/>
    </row>
    <row r="898">
      <c r="I898" s="2"/>
    </row>
    <row r="899">
      <c r="I899" s="2"/>
    </row>
    <row r="900">
      <c r="I900" s="2"/>
    </row>
    <row r="901">
      <c r="I901" s="2"/>
    </row>
    <row r="902">
      <c r="I902" s="2"/>
    </row>
    <row r="903">
      <c r="I903" s="2"/>
    </row>
    <row r="904">
      <c r="I904" s="2"/>
    </row>
    <row r="905">
      <c r="I905" s="2"/>
    </row>
    <row r="906">
      <c r="I906" s="2"/>
    </row>
    <row r="907">
      <c r="I907" s="2"/>
    </row>
    <row r="908">
      <c r="I908" s="2"/>
    </row>
    <row r="909">
      <c r="I909" s="2"/>
    </row>
    <row r="910">
      <c r="I910" s="2"/>
    </row>
    <row r="911">
      <c r="I911" s="2"/>
    </row>
    <row r="912">
      <c r="I912" s="2"/>
    </row>
    <row r="913">
      <c r="I913" s="2"/>
    </row>
    <row r="914">
      <c r="I914" s="2"/>
    </row>
    <row r="915">
      <c r="I915" s="2"/>
    </row>
    <row r="916">
      <c r="I916" s="2"/>
    </row>
    <row r="917">
      <c r="I917" s="2"/>
    </row>
    <row r="918">
      <c r="I918" s="2"/>
    </row>
    <row r="919">
      <c r="I919" s="2"/>
    </row>
    <row r="920">
      <c r="I920" s="2"/>
    </row>
    <row r="921">
      <c r="I921" s="2"/>
    </row>
    <row r="922">
      <c r="I922" s="2"/>
    </row>
    <row r="923">
      <c r="I923" s="2"/>
    </row>
    <row r="924">
      <c r="I924" s="2"/>
    </row>
    <row r="925">
      <c r="I925" s="2"/>
    </row>
    <row r="926">
      <c r="I926" s="2"/>
    </row>
    <row r="927">
      <c r="I927" s="2"/>
    </row>
    <row r="928">
      <c r="I928" s="2"/>
    </row>
    <row r="929">
      <c r="I929" s="2"/>
    </row>
    <row r="930">
      <c r="I930" s="2"/>
    </row>
    <row r="931">
      <c r="I931" s="2"/>
    </row>
    <row r="932">
      <c r="I932" s="2"/>
    </row>
    <row r="933">
      <c r="I933" s="2"/>
    </row>
    <row r="934">
      <c r="I934" s="2"/>
    </row>
    <row r="935">
      <c r="I935" s="2"/>
    </row>
    <row r="936">
      <c r="I936" s="2"/>
    </row>
    <row r="937">
      <c r="I937" s="2"/>
    </row>
    <row r="938">
      <c r="I938" s="2"/>
    </row>
    <row r="939">
      <c r="I939" s="2"/>
    </row>
    <row r="940">
      <c r="I940" s="2"/>
    </row>
    <row r="941">
      <c r="I941" s="2"/>
    </row>
    <row r="942">
      <c r="I942" s="2"/>
    </row>
    <row r="943">
      <c r="I943" s="2"/>
    </row>
    <row r="944">
      <c r="I944" s="2"/>
    </row>
    <row r="945">
      <c r="I945" s="2"/>
    </row>
    <row r="946">
      <c r="I946" s="2"/>
    </row>
    <row r="947">
      <c r="I947" s="2"/>
    </row>
    <row r="948">
      <c r="I948" s="2"/>
    </row>
    <row r="949">
      <c r="I949" s="2"/>
    </row>
    <row r="950">
      <c r="I950" s="2"/>
    </row>
    <row r="951">
      <c r="I951" s="2"/>
    </row>
    <row r="952">
      <c r="I952" s="2"/>
    </row>
    <row r="953">
      <c r="I953" s="2"/>
    </row>
    <row r="954">
      <c r="I954" s="2"/>
    </row>
    <row r="955">
      <c r="I955" s="2"/>
    </row>
    <row r="956">
      <c r="I956" s="2"/>
    </row>
    <row r="957">
      <c r="I957" s="2"/>
    </row>
    <row r="958">
      <c r="I958" s="2"/>
    </row>
    <row r="959">
      <c r="I959" s="2"/>
    </row>
    <row r="960">
      <c r="I960" s="2"/>
    </row>
    <row r="961">
      <c r="I961" s="2"/>
    </row>
    <row r="962">
      <c r="I962" s="2"/>
    </row>
    <row r="963">
      <c r="I963" s="2"/>
    </row>
    <row r="964">
      <c r="I964" s="2"/>
    </row>
    <row r="965">
      <c r="I965" s="2"/>
    </row>
    <row r="966">
      <c r="I966" s="2"/>
    </row>
    <row r="967">
      <c r="I967" s="2"/>
    </row>
    <row r="968">
      <c r="I968" s="2"/>
    </row>
    <row r="969">
      <c r="I969" s="2"/>
    </row>
    <row r="970">
      <c r="I970" s="2"/>
    </row>
    <row r="971">
      <c r="I971" s="2"/>
    </row>
    <row r="972">
      <c r="I972" s="2"/>
    </row>
    <row r="973">
      <c r="I973" s="2"/>
    </row>
    <row r="974">
      <c r="I974" s="2"/>
    </row>
    <row r="975">
      <c r="I975" s="2"/>
    </row>
    <row r="976">
      <c r="I976" s="2"/>
    </row>
    <row r="977">
      <c r="I977" s="2"/>
    </row>
    <row r="978">
      <c r="I978" s="2"/>
    </row>
    <row r="979">
      <c r="I979" s="2"/>
    </row>
    <row r="980">
      <c r="I980" s="2"/>
    </row>
    <row r="981">
      <c r="I981" s="2"/>
    </row>
    <row r="982">
      <c r="I982" s="2"/>
    </row>
    <row r="983">
      <c r="I983" s="2"/>
    </row>
    <row r="984">
      <c r="I984" s="2"/>
    </row>
    <row r="985">
      <c r="I985" s="2"/>
    </row>
    <row r="986">
      <c r="I986" s="2"/>
    </row>
    <row r="987">
      <c r="I987" s="2"/>
    </row>
    <row r="988">
      <c r="I988" s="2"/>
    </row>
    <row r="989">
      <c r="I989" s="2"/>
    </row>
    <row r="990">
      <c r="I990" s="2"/>
    </row>
    <row r="991">
      <c r="I991" s="2"/>
    </row>
    <row r="992">
      <c r="I992" s="2"/>
    </row>
    <row r="993">
      <c r="I993" s="2"/>
    </row>
    <row r="994">
      <c r="I994" s="2"/>
    </row>
    <row r="995">
      <c r="I995" s="2"/>
    </row>
    <row r="996">
      <c r="I996" s="2"/>
    </row>
    <row r="997">
      <c r="I997" s="2"/>
    </row>
    <row r="998">
      <c r="I998" s="2"/>
    </row>
    <row r="999">
      <c r="I999" s="2"/>
    </row>
    <row r="1000">
      <c r="I1000" s="2"/>
    </row>
    <row r="1001">
      <c r="I1001" s="2"/>
    </row>
    <row r="1002">
      <c r="I1002" s="2"/>
    </row>
    <row r="1003">
      <c r="I1003" s="2"/>
    </row>
    <row r="1004">
      <c r="I1004" s="2"/>
    </row>
    <row r="1005">
      <c r="I1005" s="2"/>
    </row>
    <row r="1006">
      <c r="I1006" s="2"/>
    </row>
    <row r="1007">
      <c r="I1007" s="2"/>
    </row>
    <row r="1008">
      <c r="I1008" s="2"/>
    </row>
    <row r="1009">
      <c r="I1009" s="2"/>
    </row>
    <row r="1010">
      <c r="I1010" s="2"/>
    </row>
    <row r="1011">
      <c r="I1011" s="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210</v>
      </c>
      <c r="B1" s="10"/>
      <c r="C1" s="1"/>
      <c r="D1" s="1"/>
      <c r="F1" s="1"/>
      <c r="G1" s="1"/>
      <c r="H1" s="1"/>
      <c r="I1" s="1"/>
      <c r="J1" s="8"/>
      <c r="K1" s="1"/>
    </row>
    <row r="2">
      <c r="B2" s="10"/>
      <c r="C2" s="1"/>
      <c r="D2" s="1"/>
      <c r="F2" s="1"/>
      <c r="G2" s="1"/>
      <c r="H2" s="1"/>
      <c r="I2" s="1"/>
      <c r="J2" s="8"/>
      <c r="K2" s="1"/>
    </row>
    <row r="3">
      <c r="C3" s="1" t="s">
        <v>2</v>
      </c>
      <c r="D3" s="1" t="s">
        <v>3</v>
      </c>
      <c r="E3" s="1" t="s">
        <v>13</v>
      </c>
      <c r="F3" s="1"/>
      <c r="G3" s="1" t="s">
        <v>4</v>
      </c>
      <c r="H3" s="1" t="s">
        <v>5</v>
      </c>
      <c r="I3" s="1" t="s">
        <v>6</v>
      </c>
      <c r="J3" s="1" t="s">
        <v>10</v>
      </c>
      <c r="K3" s="1" t="s">
        <v>11</v>
      </c>
      <c r="L3" s="1" t="s">
        <v>13</v>
      </c>
    </row>
    <row r="4">
      <c r="B4" s="10" t="s">
        <v>19</v>
      </c>
      <c r="C4" s="1">
        <v>5.968</v>
      </c>
      <c r="D4" s="1">
        <v>9.321</v>
      </c>
      <c r="E4" s="4">
        <f t="shared" ref="E4:E8" si="1">AVERAGE(C4:D4)</f>
        <v>7.6445</v>
      </c>
      <c r="F4" s="1"/>
      <c r="G4" s="1">
        <v>0.511</v>
      </c>
      <c r="H4" s="1">
        <v>0.806</v>
      </c>
      <c r="I4" s="1">
        <v>0.794</v>
      </c>
      <c r="J4" s="8">
        <v>0.798</v>
      </c>
      <c r="K4" s="1">
        <v>0.635</v>
      </c>
      <c r="L4" s="4">
        <f t="shared" ref="L4:L9" si="2">AVERAGE(G4,H4,I4,J4,K4)</f>
        <v>0.7088</v>
      </c>
      <c r="M4" s="1" t="s">
        <v>211</v>
      </c>
    </row>
    <row r="5">
      <c r="A5" s="34"/>
      <c r="B5" s="35" t="s">
        <v>29</v>
      </c>
      <c r="C5" s="1">
        <v>5.949</v>
      </c>
      <c r="D5" s="1">
        <v>9.294</v>
      </c>
      <c r="E5" s="4">
        <f t="shared" si="1"/>
        <v>7.6215</v>
      </c>
      <c r="F5" s="8"/>
      <c r="G5" s="8">
        <v>0.512</v>
      </c>
      <c r="H5" s="1">
        <v>0.808</v>
      </c>
      <c r="I5" s="8">
        <v>0.796</v>
      </c>
      <c r="J5" s="8">
        <v>0.796</v>
      </c>
      <c r="K5" s="8">
        <v>0.671</v>
      </c>
      <c r="L5" s="7">
        <f t="shared" si="2"/>
        <v>0.7166</v>
      </c>
      <c r="M5" s="1" t="s">
        <v>211</v>
      </c>
    </row>
    <row r="6">
      <c r="B6" s="1" t="s">
        <v>212</v>
      </c>
      <c r="C6" s="1">
        <v>5.94589</v>
      </c>
      <c r="D6" s="8">
        <v>9.2928</v>
      </c>
      <c r="E6" s="135">
        <f t="shared" si="1"/>
        <v>7.619345</v>
      </c>
      <c r="F6" s="1"/>
      <c r="G6" s="1">
        <v>0.50597</v>
      </c>
      <c r="H6" s="1">
        <v>0.80682</v>
      </c>
      <c r="I6" s="1">
        <v>0.79358</v>
      </c>
      <c r="J6" s="1">
        <v>0.79543</v>
      </c>
      <c r="K6" s="1">
        <v>0.65704</v>
      </c>
      <c r="L6" s="4">
        <f t="shared" si="2"/>
        <v>0.711768</v>
      </c>
      <c r="M6" s="1" t="s">
        <v>213</v>
      </c>
    </row>
    <row r="7">
      <c r="B7" s="1" t="s">
        <v>214</v>
      </c>
      <c r="C7" s="1">
        <v>5.94587</v>
      </c>
      <c r="D7" s="1">
        <v>9.29587</v>
      </c>
      <c r="E7" s="4">
        <f t="shared" si="1"/>
        <v>7.62087</v>
      </c>
      <c r="F7" s="1"/>
      <c r="G7" s="1">
        <v>0.5</v>
      </c>
      <c r="H7" s="1">
        <v>0.80708</v>
      </c>
      <c r="I7" s="1">
        <v>0.78899</v>
      </c>
      <c r="J7" s="1">
        <v>0.79597</v>
      </c>
      <c r="K7" s="1">
        <v>0.66509</v>
      </c>
      <c r="L7" s="4">
        <f t="shared" si="2"/>
        <v>0.711426</v>
      </c>
      <c r="M7" s="1" t="s">
        <v>213</v>
      </c>
    </row>
    <row r="8">
      <c r="B8" s="1" t="s">
        <v>215</v>
      </c>
      <c r="C8" s="8">
        <v>5.94283</v>
      </c>
      <c r="D8" s="1">
        <v>9.29014</v>
      </c>
      <c r="E8" s="4">
        <f t="shared" si="1"/>
        <v>7.616485</v>
      </c>
      <c r="G8" s="8">
        <v>0.5128</v>
      </c>
      <c r="H8" s="8">
        <v>0.80766</v>
      </c>
      <c r="I8" s="8">
        <v>0.79633</v>
      </c>
      <c r="J8" s="8">
        <v>0.79652</v>
      </c>
      <c r="K8" s="8">
        <v>0.67148</v>
      </c>
      <c r="L8" s="7">
        <f t="shared" si="2"/>
        <v>0.716958</v>
      </c>
      <c r="M8" s="1" t="s">
        <v>213</v>
      </c>
    </row>
    <row r="9">
      <c r="B9" s="1" t="s">
        <v>201</v>
      </c>
      <c r="C9" s="1">
        <v>5.96761</v>
      </c>
      <c r="D9" s="1">
        <v>9.32198</v>
      </c>
      <c r="G9" s="1">
        <v>0.51109</v>
      </c>
      <c r="H9" s="1">
        <v>0.80682</v>
      </c>
      <c r="I9" s="1">
        <v>0.79541</v>
      </c>
      <c r="J9" s="1">
        <v>0.79924</v>
      </c>
      <c r="K9" s="1">
        <v>0.63538</v>
      </c>
      <c r="L9" s="4">
        <f t="shared" si="2"/>
        <v>0.709588</v>
      </c>
      <c r="M9" s="1" t="s">
        <v>216</v>
      </c>
    </row>
    <row r="10">
      <c r="B10" s="1"/>
      <c r="C10" s="1"/>
      <c r="D10" s="1"/>
      <c r="G10" s="1"/>
      <c r="H10" s="1"/>
      <c r="I10" s="1"/>
      <c r="J10" s="1"/>
      <c r="K10" s="1"/>
    </row>
    <row r="11">
      <c r="B11" s="1" t="s">
        <v>217</v>
      </c>
      <c r="C11" s="1">
        <v>5.94587</v>
      </c>
      <c r="D11" s="1">
        <v>9.29587</v>
      </c>
      <c r="G11" s="1">
        <v>0.50085</v>
      </c>
      <c r="H11" s="1">
        <v>0.80708</v>
      </c>
      <c r="I11" s="1">
        <v>0.78838</v>
      </c>
      <c r="J11" s="1">
        <v>0.79543</v>
      </c>
      <c r="K11" s="1">
        <v>0.66509</v>
      </c>
      <c r="L11" s="4">
        <f>AVERAGE(G11,H11,I11,J11,K11)</f>
        <v>0.711366</v>
      </c>
      <c r="M11" s="1" t="s">
        <v>216</v>
      </c>
    </row>
    <row r="12">
      <c r="B12" s="1" t="s">
        <v>218</v>
      </c>
      <c r="C12" s="1">
        <v>5.94587</v>
      </c>
      <c r="D12" s="1">
        <v>9.29587</v>
      </c>
      <c r="G12" s="1">
        <v>5.50085</v>
      </c>
      <c r="H12" s="1">
        <v>0.80708</v>
      </c>
      <c r="I12" s="1"/>
      <c r="J12" s="1"/>
      <c r="K12" s="1"/>
      <c r="M12" s="1"/>
    </row>
    <row r="13">
      <c r="B13" s="1" t="s">
        <v>219</v>
      </c>
      <c r="C13" s="1">
        <v>5.94589</v>
      </c>
      <c r="D13" s="1">
        <v>9.2928</v>
      </c>
      <c r="G13" s="1">
        <v>0.50597</v>
      </c>
      <c r="H13" s="1">
        <v>0.80682</v>
      </c>
      <c r="I13" s="1">
        <v>0.79358</v>
      </c>
      <c r="J13" s="1">
        <v>0.79543</v>
      </c>
      <c r="K13" s="1">
        <v>0.65704</v>
      </c>
      <c r="L13" s="4">
        <f>AVERAGE(G13,H13,I13,J13,K13)</f>
        <v>0.711768</v>
      </c>
      <c r="M13" s="1" t="s">
        <v>216</v>
      </c>
    </row>
    <row r="14">
      <c r="B14" s="1" t="s">
        <v>220</v>
      </c>
      <c r="C14" s="1">
        <v>5.94589</v>
      </c>
      <c r="D14" s="1">
        <v>9.2928</v>
      </c>
      <c r="G14" s="1">
        <v>0.50597</v>
      </c>
      <c r="H14" s="1">
        <v>0.80682</v>
      </c>
      <c r="I14" s="1"/>
      <c r="J14" s="1"/>
      <c r="K14" s="1"/>
      <c r="M14" s="1"/>
    </row>
    <row r="15">
      <c r="B15" s="1" t="s">
        <v>221</v>
      </c>
      <c r="C15" s="1">
        <v>5.95283</v>
      </c>
      <c r="D15" s="1">
        <v>9.29914</v>
      </c>
      <c r="G15" s="1">
        <v>0.51195</v>
      </c>
      <c r="H15" s="1">
        <v>0.80724</v>
      </c>
      <c r="I15" s="1">
        <v>0.79602</v>
      </c>
      <c r="J15" s="1">
        <v>0.79706</v>
      </c>
      <c r="K15" s="1">
        <v>0.67509</v>
      </c>
      <c r="L15" s="4">
        <f>AVERAGE(G15,H15,I15,J15,K15)</f>
        <v>0.717472</v>
      </c>
      <c r="M15" s="1" t="s">
        <v>216</v>
      </c>
    </row>
    <row r="16">
      <c r="B16" s="1"/>
      <c r="C16" s="1"/>
      <c r="D16" s="1"/>
      <c r="G16" s="1"/>
      <c r="H16" s="1"/>
      <c r="I16" s="1"/>
      <c r="J16" s="1"/>
      <c r="K16" s="1"/>
    </row>
    <row r="17">
      <c r="B17" s="1"/>
      <c r="C17" s="1"/>
      <c r="D17" s="1"/>
      <c r="G17" s="1"/>
      <c r="H17" s="1"/>
      <c r="I17" s="1"/>
      <c r="J17" s="1"/>
      <c r="K17" s="1"/>
    </row>
    <row r="18">
      <c r="B18" s="1"/>
      <c r="C18" s="1"/>
      <c r="D18" s="1"/>
      <c r="G18" s="1"/>
      <c r="H18" s="1"/>
      <c r="I18" s="1"/>
      <c r="J18" s="1"/>
      <c r="K18" s="1"/>
    </row>
    <row r="19">
      <c r="A19" s="1"/>
      <c r="C19" s="1" t="s">
        <v>2</v>
      </c>
      <c r="D19" s="1" t="s">
        <v>3</v>
      </c>
      <c r="E19" s="1" t="s">
        <v>13</v>
      </c>
      <c r="F19" s="1"/>
      <c r="G19" s="1" t="s">
        <v>4</v>
      </c>
      <c r="H19" s="1" t="s">
        <v>5</v>
      </c>
      <c r="I19" s="1" t="s">
        <v>6</v>
      </c>
      <c r="J19" s="1" t="s">
        <v>10</v>
      </c>
      <c r="K19" s="1" t="s">
        <v>11</v>
      </c>
      <c r="L19" s="1" t="s">
        <v>13</v>
      </c>
    </row>
    <row r="20">
      <c r="A20" s="1" t="s">
        <v>222</v>
      </c>
      <c r="B20" s="1" t="s">
        <v>212</v>
      </c>
      <c r="C20" s="4">
        <f t="shared" ref="C20:D20" si="3">round(C5/C8*C6,3)</f>
        <v>5.952</v>
      </c>
      <c r="D20" s="4">
        <f t="shared" si="3"/>
        <v>9.297</v>
      </c>
      <c r="G20" s="4">
        <f t="shared" ref="G20:K20" si="4">round(G5/G8*G6,3)</f>
        <v>0.505</v>
      </c>
      <c r="H20" s="4">
        <f t="shared" si="4"/>
        <v>0.807</v>
      </c>
      <c r="I20" s="4">
        <f t="shared" si="4"/>
        <v>0.793</v>
      </c>
      <c r="J20" s="4">
        <f t="shared" si="4"/>
        <v>0.795</v>
      </c>
      <c r="K20" s="4">
        <f t="shared" si="4"/>
        <v>0.657</v>
      </c>
      <c r="L20" s="4">
        <f t="shared" ref="L20:L22" si="7">AVERAGE(G20,H20,I20,J20,K20)</f>
        <v>0.7114</v>
      </c>
    </row>
    <row r="21">
      <c r="B21" s="1" t="s">
        <v>214</v>
      </c>
      <c r="C21" s="4">
        <f t="shared" ref="C21:D21" si="5">round(C5/C8*C7,3)</f>
        <v>5.952</v>
      </c>
      <c r="D21" s="4">
        <f t="shared" si="5"/>
        <v>9.3</v>
      </c>
      <c r="G21" s="4">
        <f t="shared" ref="G21:K21" si="6">round(G5/G8*G7,3)</f>
        <v>0.499</v>
      </c>
      <c r="H21" s="4">
        <f t="shared" si="6"/>
        <v>0.807</v>
      </c>
      <c r="I21" s="4">
        <f t="shared" si="6"/>
        <v>0.789</v>
      </c>
      <c r="J21" s="4">
        <f t="shared" si="6"/>
        <v>0.795</v>
      </c>
      <c r="K21" s="4">
        <f t="shared" si="6"/>
        <v>0.665</v>
      </c>
      <c r="L21" s="4">
        <f t="shared" si="7"/>
        <v>0.711</v>
      </c>
    </row>
    <row r="22">
      <c r="A22" s="1"/>
      <c r="B22" s="1" t="s">
        <v>62</v>
      </c>
      <c r="C22" s="8">
        <v>5.949</v>
      </c>
      <c r="D22" s="8">
        <v>9.294</v>
      </c>
      <c r="F22" s="8"/>
      <c r="G22" s="8">
        <v>0.512</v>
      </c>
      <c r="H22" s="1">
        <v>0.808</v>
      </c>
      <c r="I22" s="8">
        <v>0.796</v>
      </c>
      <c r="J22" s="8">
        <v>0.796</v>
      </c>
      <c r="K22" s="8">
        <v>0.671</v>
      </c>
      <c r="L22" s="7">
        <f t="shared" si="7"/>
        <v>0.7166</v>
      </c>
    </row>
    <row r="23">
      <c r="A23" s="1"/>
    </row>
    <row r="24">
      <c r="A24" s="1" t="s">
        <v>223</v>
      </c>
      <c r="B24" s="1" t="s">
        <v>212</v>
      </c>
      <c r="C24" s="4">
        <f t="shared" ref="C24:D24" si="8">round(C31*C30/C33,3)</f>
        <v>8.247</v>
      </c>
      <c r="D24" s="4">
        <f t="shared" si="8"/>
        <v>13.397</v>
      </c>
      <c r="G24" s="4">
        <f t="shared" ref="G24:L24" si="9">round(G31*G30/G33,3)</f>
        <v>0.403</v>
      </c>
      <c r="H24" s="4">
        <f t="shared" si="9"/>
        <v>0.743</v>
      </c>
      <c r="I24" s="4">
        <f t="shared" si="9"/>
        <v>0.713</v>
      </c>
      <c r="J24" s="4">
        <f t="shared" si="9"/>
        <v>0.75</v>
      </c>
      <c r="K24" s="4">
        <f t="shared" si="9"/>
        <v>0.634</v>
      </c>
      <c r="L24" s="4">
        <f t="shared" si="9"/>
        <v>0.649</v>
      </c>
    </row>
    <row r="25">
      <c r="A25" s="1"/>
      <c r="B25" s="1" t="s">
        <v>214</v>
      </c>
      <c r="C25" s="4">
        <f t="shared" ref="C25:D25" si="10">round(C32*C30/C33,3)</f>
        <v>8.243</v>
      </c>
      <c r="D25" s="4">
        <f t="shared" si="10"/>
        <v>13.344</v>
      </c>
      <c r="G25" s="4">
        <f t="shared" ref="G25:L25" si="11">round(G32*G30/G33,3)</f>
        <v>0.386</v>
      </c>
      <c r="H25" s="4">
        <f t="shared" si="11"/>
        <v>0.747</v>
      </c>
      <c r="I25" s="4">
        <f t="shared" si="11"/>
        <v>0.723</v>
      </c>
      <c r="J25" s="4">
        <f t="shared" si="11"/>
        <v>0.755</v>
      </c>
      <c r="K25" s="4">
        <f t="shared" si="11"/>
        <v>0.627</v>
      </c>
      <c r="L25" s="4">
        <f t="shared" si="11"/>
        <v>0.648</v>
      </c>
    </row>
    <row r="26">
      <c r="A26" s="1"/>
      <c r="B26" s="1" t="s">
        <v>62</v>
      </c>
      <c r="C26" s="15">
        <v>7.893</v>
      </c>
      <c r="D26" s="15">
        <v>12.851</v>
      </c>
      <c r="F26" s="15"/>
      <c r="G26" s="17">
        <v>0.407</v>
      </c>
      <c r="H26" s="17">
        <v>0.749</v>
      </c>
      <c r="I26" s="17">
        <v>0.724</v>
      </c>
      <c r="J26" s="17">
        <v>0.764</v>
      </c>
      <c r="K26" s="17">
        <v>0.638</v>
      </c>
      <c r="L26" s="17">
        <v>0.656</v>
      </c>
    </row>
    <row r="27">
      <c r="A27" s="1"/>
    </row>
    <row r="28">
      <c r="A28" s="1" t="s">
        <v>224</v>
      </c>
    </row>
    <row r="29">
      <c r="B29" s="10" t="s">
        <v>19</v>
      </c>
      <c r="C29" s="15">
        <v>8.0936</v>
      </c>
      <c r="D29" s="15">
        <v>13.1569</v>
      </c>
      <c r="E29" s="4">
        <f t="shared" ref="E29:E33" si="12">AVERAGE(C29:D29)</f>
        <v>10.62525</v>
      </c>
      <c r="F29" s="15"/>
      <c r="G29" s="15">
        <v>0.413</v>
      </c>
      <c r="H29" s="15">
        <v>0.745</v>
      </c>
      <c r="I29" s="15">
        <v>0.715</v>
      </c>
      <c r="J29" s="15">
        <v>0.756</v>
      </c>
      <c r="K29" s="15">
        <v>0.624</v>
      </c>
      <c r="L29" s="15">
        <f t="shared" ref="L29:L32" si="13">AVERAGE(G29,H29,I29,J29,K29)</f>
        <v>0.6506</v>
      </c>
      <c r="M29" s="1" t="s">
        <v>211</v>
      </c>
      <c r="O29" s="15"/>
    </row>
    <row r="30">
      <c r="B30" s="35" t="s">
        <v>29</v>
      </c>
      <c r="C30" s="15">
        <v>7.8933</v>
      </c>
      <c r="D30" s="15">
        <v>12.8506</v>
      </c>
      <c r="E30" s="4">
        <f t="shared" si="12"/>
        <v>10.37195</v>
      </c>
      <c r="F30" s="15"/>
      <c r="G30" s="15">
        <v>0.407</v>
      </c>
      <c r="H30" s="17">
        <v>0.749</v>
      </c>
      <c r="I30" s="17">
        <v>0.724</v>
      </c>
      <c r="J30" s="17">
        <v>0.764</v>
      </c>
      <c r="K30" s="17">
        <v>0.638</v>
      </c>
      <c r="L30" s="17">
        <f t="shared" si="13"/>
        <v>0.6564</v>
      </c>
      <c r="M30" s="1" t="s">
        <v>211</v>
      </c>
      <c r="O30" s="15"/>
    </row>
    <row r="31">
      <c r="B31" s="1" t="s">
        <v>212</v>
      </c>
      <c r="C31" s="15">
        <v>7.87926</v>
      </c>
      <c r="D31" s="15">
        <v>12.89013</v>
      </c>
      <c r="E31" s="4">
        <f t="shared" si="12"/>
        <v>10.384695</v>
      </c>
      <c r="F31" s="15"/>
      <c r="G31" s="15">
        <v>0.41126</v>
      </c>
      <c r="H31" s="15">
        <v>0.74411</v>
      </c>
      <c r="I31" s="15">
        <v>0.71468</v>
      </c>
      <c r="J31" s="15">
        <v>0.75952</v>
      </c>
      <c r="K31" s="1">
        <v>0.61011</v>
      </c>
      <c r="L31" s="4">
        <f t="shared" si="13"/>
        <v>0.647936</v>
      </c>
      <c r="O31" s="134"/>
    </row>
    <row r="32">
      <c r="B32" s="1" t="s">
        <v>214</v>
      </c>
      <c r="C32" s="136">
        <v>7.87587</v>
      </c>
      <c r="D32" s="136">
        <v>12.83895</v>
      </c>
      <c r="E32" s="137">
        <f t="shared" si="12"/>
        <v>10.35741</v>
      </c>
      <c r="F32" s="136"/>
      <c r="G32" s="136">
        <v>0.3942</v>
      </c>
      <c r="H32" s="136">
        <v>0.74832</v>
      </c>
      <c r="I32" s="136">
        <v>0.72456</v>
      </c>
      <c r="J32" s="136">
        <v>0.76496</v>
      </c>
      <c r="K32" s="136">
        <v>0.60289</v>
      </c>
      <c r="L32" s="4">
        <f t="shared" si="13"/>
        <v>0.646986</v>
      </c>
      <c r="M32" s="14"/>
      <c r="N32" s="14"/>
      <c r="O32" s="14"/>
      <c r="P32" s="17"/>
    </row>
    <row r="33">
      <c r="B33" s="1" t="s">
        <v>62</v>
      </c>
      <c r="C33" s="8">
        <v>7.54167</v>
      </c>
      <c r="D33" s="8">
        <v>12.36462</v>
      </c>
      <c r="E33" s="135">
        <f t="shared" si="12"/>
        <v>9.953145</v>
      </c>
      <c r="G33" s="8">
        <v>0.41553</v>
      </c>
      <c r="H33" s="8">
        <v>0.75</v>
      </c>
      <c r="I33" s="8">
        <v>0.72538</v>
      </c>
      <c r="J33" s="8">
        <v>0.77421</v>
      </c>
      <c r="K33" s="17">
        <v>0.61372</v>
      </c>
      <c r="L33" s="135">
        <f>AVERAGE(G33,H33,I33,J33,K31)</f>
        <v>0.655046</v>
      </c>
      <c r="M33" s="1" t="s">
        <v>225</v>
      </c>
    </row>
    <row r="37">
      <c r="A37" s="1" t="s">
        <v>224</v>
      </c>
    </row>
    <row r="38">
      <c r="B38" s="4" t="s">
        <v>19</v>
      </c>
      <c r="C38" s="4">
        <v>5.572</v>
      </c>
      <c r="D38" s="4">
        <v>8.6483</v>
      </c>
      <c r="F38" s="4">
        <v>0.4394</v>
      </c>
      <c r="G38" s="4">
        <v>0.7635</v>
      </c>
      <c r="H38" s="4">
        <v>0.7804</v>
      </c>
      <c r="I38" s="4">
        <v>0.5768</v>
      </c>
      <c r="J38" s="4">
        <v>0.6846</v>
      </c>
      <c r="K38" s="4">
        <v>0.29</v>
      </c>
      <c r="L38" s="4">
        <v>0.7867</v>
      </c>
      <c r="M38" s="4">
        <v>0.6029</v>
      </c>
      <c r="N38" s="4">
        <v>0.7064</v>
      </c>
      <c r="O38" s="4">
        <v>0.67458</v>
      </c>
    </row>
    <row r="39">
      <c r="B39" s="138" t="s">
        <v>54</v>
      </c>
      <c r="C39" s="4">
        <v>5.5237</v>
      </c>
      <c r="D39" s="4">
        <v>8.5521</v>
      </c>
      <c r="F39" s="4">
        <v>0.4386</v>
      </c>
      <c r="G39" s="4">
        <v>0.7656</v>
      </c>
      <c r="H39" s="4">
        <v>0.7936</v>
      </c>
      <c r="I39" s="4">
        <v>0.5814</v>
      </c>
      <c r="J39" s="4">
        <v>0.6922</v>
      </c>
      <c r="K39" s="4">
        <v>0.292</v>
      </c>
      <c r="L39" s="4">
        <v>0.7873</v>
      </c>
      <c r="M39" s="4">
        <v>0.6173</v>
      </c>
      <c r="N39" s="4">
        <v>0.7032</v>
      </c>
      <c r="O39" s="4">
        <v>0.68048</v>
      </c>
    </row>
    <row r="41">
      <c r="B41" s="1" t="s">
        <v>212</v>
      </c>
      <c r="C41" s="1">
        <v>5.48856</v>
      </c>
      <c r="D41" s="1">
        <v>8.48688</v>
      </c>
      <c r="G41" s="1">
        <v>0.44539</v>
      </c>
      <c r="H41" s="1">
        <v>0.76557</v>
      </c>
      <c r="I41" s="1">
        <v>0.79083</v>
      </c>
      <c r="J41" s="1">
        <v>0.78836</v>
      </c>
      <c r="K41" s="1">
        <v>0.58484</v>
      </c>
    </row>
    <row r="42">
      <c r="B42" s="1" t="s">
        <v>214</v>
      </c>
      <c r="C42" s="1">
        <v>5.51923</v>
      </c>
      <c r="D42" s="1">
        <v>8.53934</v>
      </c>
      <c r="G42" s="1">
        <v>0.44283</v>
      </c>
      <c r="H42" s="1">
        <v>0.7601</v>
      </c>
      <c r="I42" s="1">
        <v>0.79602</v>
      </c>
      <c r="J42" s="1">
        <v>0.78836</v>
      </c>
      <c r="K42" s="1">
        <v>0.58845</v>
      </c>
    </row>
    <row r="43">
      <c r="B43" s="1" t="s">
        <v>69</v>
      </c>
      <c r="C43" s="1">
        <v>5.52275</v>
      </c>
      <c r="D43" s="1">
        <v>8.55673</v>
      </c>
      <c r="G43" s="1">
        <v>0.44369</v>
      </c>
      <c r="H43" s="1">
        <v>0.76178</v>
      </c>
      <c r="I43" s="1">
        <v>0.79266</v>
      </c>
      <c r="J43" s="1">
        <v>0.78781</v>
      </c>
      <c r="K43" s="1">
        <v>0.58845</v>
      </c>
    </row>
    <row r="44">
      <c r="C44" s="1">
        <v>5.52275</v>
      </c>
      <c r="D44" s="1">
        <v>8.55673</v>
      </c>
    </row>
    <row r="48">
      <c r="A48" s="1" t="s">
        <v>35</v>
      </c>
      <c r="C48" s="1" t="s">
        <v>226</v>
      </c>
      <c r="D48" s="1" t="s">
        <v>3</v>
      </c>
      <c r="F48" s="1" t="s">
        <v>31</v>
      </c>
      <c r="G48" s="1" t="s">
        <v>32</v>
      </c>
      <c r="H48" s="1" t="s">
        <v>6</v>
      </c>
      <c r="I48" s="1" t="s">
        <v>10</v>
      </c>
      <c r="J48" s="1" t="s">
        <v>11</v>
      </c>
    </row>
    <row r="49">
      <c r="A49" s="10" t="s">
        <v>27</v>
      </c>
      <c r="B49" s="1" t="s">
        <v>55</v>
      </c>
      <c r="C49" s="5">
        <v>10.9466</v>
      </c>
      <c r="D49" s="1">
        <v>18.0442</v>
      </c>
      <c r="E49" s="1">
        <f>AVERAGE(C49:D49)</f>
        <v>14.4954</v>
      </c>
      <c r="F49" s="1">
        <v>0.3857</v>
      </c>
      <c r="G49" s="1">
        <v>0.649</v>
      </c>
      <c r="H49" s="8">
        <v>0.7174</v>
      </c>
      <c r="I49" s="1">
        <v>0.7432</v>
      </c>
      <c r="J49" s="1">
        <v>0.5884</v>
      </c>
      <c r="K49" s="4">
        <f t="shared" ref="K49:K53" si="14">AVERAGE(F49:J49)</f>
        <v>0.61674</v>
      </c>
      <c r="N49" s="3">
        <v>0.6796</v>
      </c>
      <c r="O49" s="4">
        <f>AVERAGE(F49,G49,H49,I49,J49)</f>
        <v>0.61674</v>
      </c>
    </row>
    <row r="50">
      <c r="B50" s="1" t="s">
        <v>35</v>
      </c>
      <c r="C50" s="1">
        <v>9.8196</v>
      </c>
      <c r="D50" s="1">
        <v>16.0806</v>
      </c>
      <c r="F50" s="1">
        <v>0.40188</v>
      </c>
      <c r="G50" s="1">
        <v>0.7096</v>
      </c>
      <c r="H50" s="8">
        <v>0.70092</v>
      </c>
      <c r="I50" s="1">
        <v>0.74266</v>
      </c>
      <c r="J50" s="1">
        <v>0.58484</v>
      </c>
      <c r="K50" s="4">
        <f t="shared" si="14"/>
        <v>0.62798</v>
      </c>
    </row>
    <row r="51">
      <c r="B51" s="1" t="s">
        <v>227</v>
      </c>
      <c r="C51" s="1">
        <v>8.5468</v>
      </c>
      <c r="D51" s="1">
        <v>13.9052</v>
      </c>
      <c r="F51" s="1">
        <v>0.40529</v>
      </c>
      <c r="G51" s="8">
        <v>0.73232</v>
      </c>
      <c r="H51" s="1">
        <v>0.69113</v>
      </c>
      <c r="I51" s="1">
        <v>0.75843</v>
      </c>
      <c r="J51" s="1">
        <v>0.59928</v>
      </c>
      <c r="K51" s="4">
        <f t="shared" si="14"/>
        <v>0.63729</v>
      </c>
    </row>
    <row r="52">
      <c r="B52" s="1" t="s">
        <v>228</v>
      </c>
      <c r="C52" s="1">
        <v>8.5868</v>
      </c>
      <c r="D52" s="1">
        <v>13.9378</v>
      </c>
      <c r="F52" s="1">
        <v>0.4087</v>
      </c>
      <c r="G52" s="1">
        <v>0.72727</v>
      </c>
      <c r="H52" s="8">
        <v>0.6945</v>
      </c>
      <c r="I52" s="8">
        <v>0.75843</v>
      </c>
      <c r="J52" s="1">
        <v>0.60289</v>
      </c>
      <c r="K52" s="4">
        <f t="shared" si="14"/>
        <v>0.638358</v>
      </c>
    </row>
    <row r="53">
      <c r="B53" s="1" t="s">
        <v>69</v>
      </c>
      <c r="C53" s="1">
        <v>8.723</v>
      </c>
      <c r="D53" s="1">
        <v>14.1424</v>
      </c>
      <c r="F53" s="8">
        <v>0.41212</v>
      </c>
      <c r="G53" s="1">
        <v>0.72517</v>
      </c>
      <c r="H53" s="1">
        <v>0.68807</v>
      </c>
      <c r="I53" s="1">
        <v>0.75517</v>
      </c>
      <c r="J53" s="1">
        <v>0.6065</v>
      </c>
      <c r="K53" s="4">
        <f t="shared" si="14"/>
        <v>0.637406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hidden="1" min="9" max="9" width="12.63"/>
  </cols>
  <sheetData>
    <row r="1">
      <c r="A1" s="70" t="s">
        <v>229</v>
      </c>
      <c r="B1" s="70" t="s">
        <v>1</v>
      </c>
      <c r="C1" s="14"/>
      <c r="D1" s="14"/>
      <c r="E1" s="14"/>
      <c r="F1" s="14"/>
      <c r="G1" s="14"/>
      <c r="H1" s="14"/>
      <c r="I1" s="14"/>
      <c r="J1" s="14"/>
      <c r="K1" s="14"/>
    </row>
    <row r="2">
      <c r="A2" s="14"/>
      <c r="B2" s="14"/>
      <c r="C2" s="70" t="s">
        <v>2</v>
      </c>
      <c r="D2" s="70" t="s">
        <v>3</v>
      </c>
      <c r="E2" s="14"/>
      <c r="F2" s="70" t="s">
        <v>4</v>
      </c>
      <c r="G2" s="70" t="s">
        <v>5</v>
      </c>
      <c r="H2" s="70" t="s">
        <v>6</v>
      </c>
      <c r="I2" s="70" t="s">
        <v>10</v>
      </c>
      <c r="J2" s="70" t="s">
        <v>11</v>
      </c>
      <c r="K2" s="70" t="s">
        <v>13</v>
      </c>
      <c r="L2" s="1" t="s">
        <v>13</v>
      </c>
    </row>
    <row r="3">
      <c r="A3" s="14"/>
      <c r="B3" s="70" t="s">
        <v>14</v>
      </c>
      <c r="C3" s="15">
        <v>4.845</v>
      </c>
      <c r="D3" s="15">
        <v>7.535</v>
      </c>
      <c r="E3" s="14"/>
      <c r="F3" s="15">
        <v>0.509</v>
      </c>
      <c r="G3" s="15">
        <v>0.802</v>
      </c>
      <c r="H3" s="15">
        <v>0.837</v>
      </c>
      <c r="I3" s="15">
        <v>0.8</v>
      </c>
      <c r="J3" s="15">
        <v>0.686</v>
      </c>
      <c r="K3" s="15">
        <v>0.7268</v>
      </c>
      <c r="L3" s="4">
        <f>AVERAGE(F3,G3,H3,J3,K3)</f>
        <v>0.71216</v>
      </c>
    </row>
    <row r="4">
      <c r="A4" s="70" t="s">
        <v>50</v>
      </c>
      <c r="B4" s="70" t="s">
        <v>207</v>
      </c>
      <c r="C4" s="139">
        <v>299.821</v>
      </c>
      <c r="D4" s="139">
        <v>254.446</v>
      </c>
      <c r="E4" s="14"/>
      <c r="F4" s="15">
        <v>0.2</v>
      </c>
      <c r="G4" s="15">
        <v>0.282</v>
      </c>
      <c r="H4" s="15">
        <v>0.383</v>
      </c>
      <c r="I4" s="15">
        <v>0.552</v>
      </c>
      <c r="J4" s="15">
        <v>0.523</v>
      </c>
      <c r="K4" s="15">
        <v>0.388</v>
      </c>
    </row>
    <row r="5">
      <c r="A5" s="14"/>
      <c r="B5" s="70" t="s">
        <v>208</v>
      </c>
      <c r="C5" s="15">
        <v>9.998</v>
      </c>
      <c r="D5" s="15">
        <v>15.384</v>
      </c>
      <c r="E5" s="14"/>
      <c r="F5" s="15">
        <v>0.268</v>
      </c>
      <c r="G5" s="15">
        <v>0.564</v>
      </c>
      <c r="H5" s="15">
        <v>0.556</v>
      </c>
      <c r="I5" s="15">
        <v>0.694</v>
      </c>
      <c r="J5" s="15">
        <v>0.542</v>
      </c>
      <c r="K5" s="15">
        <v>0.525</v>
      </c>
      <c r="L5" s="7"/>
    </row>
    <row r="6">
      <c r="A6" s="14"/>
      <c r="B6" s="14"/>
      <c r="C6" s="14"/>
      <c r="D6" s="14"/>
      <c r="E6" s="14"/>
      <c r="F6" s="14"/>
      <c r="G6" s="14"/>
      <c r="H6" s="14"/>
      <c r="I6" s="134"/>
      <c r="J6" s="14"/>
      <c r="K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>
      <c r="A9" s="14"/>
      <c r="B9" s="14"/>
      <c r="C9" s="134"/>
      <c r="D9" s="134"/>
      <c r="E9" s="14"/>
      <c r="F9" s="134"/>
      <c r="G9" s="14"/>
      <c r="H9" s="134"/>
      <c r="I9" s="14"/>
      <c r="J9" s="134"/>
      <c r="K9" s="134"/>
      <c r="L9" s="7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>
      <c r="A14" s="14"/>
      <c r="B14" s="70" t="s">
        <v>14</v>
      </c>
      <c r="C14" s="15">
        <v>5.522</v>
      </c>
      <c r="D14" s="15">
        <v>8.409</v>
      </c>
      <c r="E14" s="14"/>
      <c r="F14" s="15">
        <v>0.522</v>
      </c>
      <c r="G14" s="15">
        <v>0.822</v>
      </c>
      <c r="H14" s="15">
        <v>0.83</v>
      </c>
      <c r="I14" s="15">
        <v>0.791</v>
      </c>
      <c r="J14" s="15">
        <v>0.711</v>
      </c>
      <c r="K14" s="15">
        <v>0.7352</v>
      </c>
      <c r="L14" s="4">
        <f>AVERAGE(F14,G14,H14,J14,K14)</f>
        <v>0.72404</v>
      </c>
    </row>
    <row r="15">
      <c r="A15" s="70" t="s">
        <v>27</v>
      </c>
      <c r="B15" s="70" t="s">
        <v>207</v>
      </c>
      <c r="C15" s="15">
        <v>15202.255</v>
      </c>
      <c r="D15" s="15">
        <v>24205.625</v>
      </c>
      <c r="E15" s="14"/>
      <c r="F15" s="15">
        <v>0.213</v>
      </c>
      <c r="G15" s="15">
        <v>0.266</v>
      </c>
      <c r="H15" s="15">
        <v>0.539</v>
      </c>
      <c r="I15" s="15">
        <v>0.528</v>
      </c>
      <c r="J15" s="15">
        <v>0.549</v>
      </c>
      <c r="K15" s="15">
        <v>0.419</v>
      </c>
    </row>
    <row r="16">
      <c r="A16" s="14"/>
      <c r="B16" s="70" t="s">
        <v>208</v>
      </c>
      <c r="C16" s="15">
        <v>126.257</v>
      </c>
      <c r="D16" s="15">
        <v>131.064</v>
      </c>
      <c r="E16" s="14"/>
      <c r="F16" s="15">
        <v>0.202</v>
      </c>
      <c r="G16" s="15">
        <v>0.283</v>
      </c>
      <c r="H16" s="15">
        <v>0.437</v>
      </c>
      <c r="I16" s="15">
        <v>0.541</v>
      </c>
      <c r="J16" s="15">
        <v>0.527</v>
      </c>
      <c r="K16" s="15">
        <v>0.398</v>
      </c>
      <c r="L16" s="7"/>
    </row>
    <row r="17">
      <c r="A17" s="14"/>
      <c r="B17" s="14"/>
      <c r="C17" s="14"/>
      <c r="D17" s="14"/>
      <c r="E17" s="14"/>
      <c r="F17" s="14"/>
      <c r="G17" s="14"/>
      <c r="H17" s="14"/>
      <c r="I17" s="134"/>
      <c r="J17" s="14"/>
      <c r="K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>
      <c r="A20" s="14"/>
      <c r="B20" s="14"/>
      <c r="C20" s="134"/>
      <c r="D20" s="134"/>
      <c r="E20" s="14"/>
      <c r="F20" s="134"/>
      <c r="G20" s="14"/>
      <c r="H20" s="134"/>
      <c r="I20" s="14"/>
      <c r="J20" s="134"/>
      <c r="K20" s="134"/>
      <c r="L20" s="7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>
      <c r="A26" s="70" t="s">
        <v>33</v>
      </c>
      <c r="B26" s="70" t="s">
        <v>14</v>
      </c>
      <c r="C26" s="15">
        <v>6.0839</v>
      </c>
      <c r="D26" s="15">
        <v>10.8166</v>
      </c>
      <c r="E26" s="14"/>
      <c r="F26" s="15">
        <v>0.477</v>
      </c>
      <c r="G26" s="15">
        <v>0.804</v>
      </c>
      <c r="H26" s="15">
        <v>0.846</v>
      </c>
      <c r="I26" s="15">
        <v>0.787</v>
      </c>
      <c r="J26" s="15">
        <v>0.815</v>
      </c>
      <c r="K26" s="15">
        <v>0.7458</v>
      </c>
      <c r="L26" s="4">
        <f>AVERAGE(F26,G26,H26,J26,K26)</f>
        <v>0.73756</v>
      </c>
    </row>
    <row r="27">
      <c r="A27" s="70" t="s">
        <v>33</v>
      </c>
      <c r="B27" s="70" t="s">
        <v>207</v>
      </c>
      <c r="C27" s="15">
        <v>43.398</v>
      </c>
      <c r="D27" s="15">
        <v>89.72</v>
      </c>
      <c r="E27" s="14"/>
      <c r="F27" s="15">
        <v>0.286</v>
      </c>
      <c r="G27" s="15">
        <v>0.501</v>
      </c>
      <c r="H27" s="15">
        <v>0.489</v>
      </c>
      <c r="I27" s="15">
        <v>0.672</v>
      </c>
      <c r="J27" s="15">
        <v>0.567</v>
      </c>
      <c r="K27" s="15">
        <v>0.503</v>
      </c>
    </row>
    <row r="28">
      <c r="A28" s="14"/>
      <c r="B28" s="70" t="s">
        <v>208</v>
      </c>
      <c r="C28" s="15">
        <v>17.939</v>
      </c>
      <c r="D28" s="15">
        <v>28.249</v>
      </c>
      <c r="E28" s="14"/>
      <c r="F28" s="15">
        <v>0.319</v>
      </c>
      <c r="G28" s="15">
        <v>0.618</v>
      </c>
      <c r="H28" s="15">
        <v>0.523</v>
      </c>
      <c r="I28" s="15">
        <v>0.714</v>
      </c>
      <c r="J28" s="15">
        <v>0.574</v>
      </c>
      <c r="K28" s="15">
        <v>0.55</v>
      </c>
      <c r="L28" s="7"/>
    </row>
    <row r="29">
      <c r="A29" s="14"/>
      <c r="B29" s="14"/>
      <c r="C29" s="14"/>
      <c r="D29" s="14"/>
      <c r="E29" s="14"/>
      <c r="F29" s="14"/>
      <c r="G29" s="14"/>
      <c r="H29" s="14"/>
      <c r="I29" s="134"/>
      <c r="J29" s="14"/>
      <c r="K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>
      <c r="A32" s="14"/>
      <c r="B32" s="14"/>
      <c r="C32" s="134"/>
      <c r="D32" s="134"/>
      <c r="E32" s="14"/>
      <c r="F32" s="134"/>
      <c r="G32" s="14"/>
      <c r="H32" s="134"/>
      <c r="I32" s="14"/>
      <c r="J32" s="134"/>
      <c r="K32" s="134"/>
      <c r="L32" s="7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70" t="s">
        <v>0</v>
      </c>
      <c r="B40" s="70" t="s">
        <v>1</v>
      </c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4"/>
      <c r="B41" s="14"/>
      <c r="C41" s="70" t="s">
        <v>2</v>
      </c>
      <c r="D41" s="70" t="s">
        <v>3</v>
      </c>
      <c r="E41" s="14"/>
      <c r="F41" s="70" t="s">
        <v>4</v>
      </c>
      <c r="G41" s="70" t="s">
        <v>5</v>
      </c>
      <c r="H41" s="70" t="s">
        <v>6</v>
      </c>
      <c r="I41" s="70" t="s">
        <v>10</v>
      </c>
      <c r="J41" s="70" t="s">
        <v>11</v>
      </c>
      <c r="K41" s="70" t="s">
        <v>13</v>
      </c>
      <c r="L41" s="1" t="s">
        <v>13</v>
      </c>
    </row>
    <row r="42">
      <c r="A42" s="14"/>
      <c r="B42" s="70" t="s">
        <v>14</v>
      </c>
      <c r="C42" s="15">
        <v>5.442</v>
      </c>
      <c r="D42" s="15">
        <v>8.346</v>
      </c>
      <c r="E42" s="14"/>
      <c r="F42" s="15">
        <v>0.505</v>
      </c>
      <c r="G42" s="15">
        <v>0.8</v>
      </c>
      <c r="H42" s="15">
        <v>0.813</v>
      </c>
      <c r="I42" s="15">
        <v>0.796</v>
      </c>
      <c r="J42" s="15">
        <v>0.696</v>
      </c>
      <c r="K42" s="15">
        <v>0.722</v>
      </c>
      <c r="L42" s="4">
        <f>AVERAGE(F42,G42,H42,J42,K42)</f>
        <v>0.7072</v>
      </c>
    </row>
    <row r="43">
      <c r="A43" s="70" t="s">
        <v>38</v>
      </c>
      <c r="B43" s="70" t="s">
        <v>207</v>
      </c>
      <c r="C43" s="14"/>
      <c r="D43" s="14"/>
      <c r="E43" s="14"/>
      <c r="F43" s="14"/>
      <c r="G43" s="14"/>
      <c r="H43" s="14"/>
      <c r="I43" s="134"/>
      <c r="J43" s="14"/>
      <c r="K43" s="14"/>
    </row>
    <row r="44">
      <c r="A44" s="14"/>
      <c r="B44" s="70" t="s">
        <v>208</v>
      </c>
      <c r="C44" s="134"/>
      <c r="D44" s="134"/>
      <c r="E44" s="14"/>
      <c r="F44" s="134"/>
      <c r="G44" s="134"/>
      <c r="H44" s="134"/>
      <c r="I44" s="134"/>
      <c r="J44" s="134"/>
      <c r="K44" s="134"/>
      <c r="L44" s="7"/>
    </row>
    <row r="45">
      <c r="A45" s="14"/>
      <c r="B45" s="14"/>
      <c r="C45" s="14"/>
      <c r="D45" s="14"/>
      <c r="E45" s="14"/>
      <c r="F45" s="14"/>
      <c r="G45" s="14"/>
      <c r="H45" s="14"/>
      <c r="I45" s="134"/>
      <c r="J45" s="14"/>
      <c r="K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>
      <c r="A48" s="14"/>
      <c r="B48" s="14"/>
      <c r="C48" s="134"/>
      <c r="D48" s="134"/>
      <c r="E48" s="14"/>
      <c r="F48" s="134"/>
      <c r="G48" s="14"/>
      <c r="H48" s="134"/>
      <c r="I48" s="14"/>
      <c r="J48" s="134"/>
      <c r="K48" s="134"/>
      <c r="L48" s="7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>
      <c r="A51" s="14"/>
      <c r="B51" s="14"/>
      <c r="C51" s="14"/>
      <c r="D51" s="14"/>
      <c r="E51" s="14"/>
      <c r="F51" s="14"/>
      <c r="G51" s="70" t="s">
        <v>209</v>
      </c>
      <c r="H51" s="14"/>
      <c r="I51" s="14"/>
      <c r="J51" s="14"/>
      <c r="K51" s="14"/>
    </row>
    <row r="52">
      <c r="I52" s="2"/>
    </row>
    <row r="53">
      <c r="I53" s="2"/>
    </row>
    <row r="54">
      <c r="I54" s="2"/>
    </row>
    <row r="55">
      <c r="G55" s="7"/>
      <c r="I55" s="2"/>
    </row>
    <row r="56">
      <c r="I56" s="2"/>
    </row>
    <row r="57">
      <c r="I57" s="2"/>
    </row>
    <row r="58">
      <c r="I58" s="2"/>
    </row>
    <row r="59">
      <c r="I59" s="2"/>
    </row>
    <row r="60">
      <c r="I60" s="2"/>
    </row>
    <row r="61">
      <c r="I61" s="2"/>
    </row>
    <row r="62">
      <c r="I62" s="2"/>
    </row>
    <row r="63">
      <c r="I63" s="2"/>
    </row>
    <row r="64">
      <c r="I64" s="2"/>
    </row>
    <row r="65">
      <c r="I65" s="2"/>
    </row>
    <row r="66">
      <c r="I66" s="2"/>
    </row>
    <row r="67">
      <c r="I67" s="2"/>
    </row>
    <row r="68">
      <c r="I68" s="2"/>
    </row>
    <row r="69">
      <c r="I69" s="2"/>
    </row>
    <row r="70">
      <c r="I70" s="2"/>
    </row>
    <row r="71">
      <c r="I71" s="2"/>
    </row>
    <row r="72">
      <c r="I72" s="2"/>
    </row>
    <row r="73">
      <c r="I73" s="2"/>
    </row>
    <row r="74">
      <c r="I74" s="2"/>
    </row>
    <row r="75">
      <c r="I75" s="2"/>
    </row>
    <row r="76">
      <c r="I76" s="2"/>
    </row>
    <row r="77">
      <c r="I77" s="2"/>
    </row>
    <row r="78">
      <c r="I78" s="2"/>
    </row>
    <row r="79">
      <c r="I79" s="2"/>
    </row>
    <row r="80">
      <c r="I80" s="2"/>
    </row>
    <row r="81">
      <c r="I81" s="2"/>
    </row>
    <row r="82">
      <c r="I82" s="2"/>
    </row>
    <row r="83">
      <c r="I83" s="2"/>
    </row>
    <row r="84">
      <c r="I84" s="2"/>
    </row>
    <row r="85">
      <c r="I85" s="2"/>
    </row>
    <row r="86">
      <c r="I86" s="2"/>
    </row>
    <row r="87">
      <c r="I87" s="2"/>
    </row>
    <row r="88">
      <c r="I88" s="2"/>
    </row>
    <row r="89">
      <c r="I89" s="2"/>
    </row>
    <row r="90">
      <c r="I90" s="2"/>
    </row>
    <row r="91">
      <c r="I91" s="2"/>
    </row>
    <row r="92">
      <c r="I92" s="2"/>
    </row>
    <row r="93">
      <c r="I93" s="2"/>
    </row>
    <row r="94">
      <c r="I94" s="2"/>
    </row>
    <row r="95">
      <c r="I95" s="2"/>
    </row>
    <row r="96">
      <c r="I96" s="2"/>
    </row>
    <row r="97">
      <c r="I97" s="2"/>
    </row>
    <row r="98">
      <c r="I98" s="2"/>
    </row>
    <row r="99">
      <c r="I99" s="2"/>
    </row>
    <row r="100">
      <c r="I100" s="2"/>
    </row>
    <row r="101">
      <c r="I101" s="2"/>
    </row>
    <row r="102">
      <c r="I102" s="2"/>
    </row>
    <row r="103">
      <c r="I103" s="2"/>
    </row>
    <row r="104">
      <c r="I104" s="2"/>
    </row>
    <row r="105">
      <c r="I105" s="2"/>
    </row>
    <row r="106">
      <c r="I106" s="2"/>
    </row>
    <row r="107">
      <c r="I107" s="2"/>
    </row>
    <row r="108">
      <c r="I108" s="2"/>
    </row>
    <row r="109">
      <c r="I109" s="2"/>
    </row>
    <row r="110">
      <c r="I110" s="2"/>
    </row>
    <row r="111">
      <c r="I111" s="2"/>
    </row>
    <row r="112">
      <c r="I112" s="2"/>
    </row>
    <row r="113">
      <c r="I113" s="2"/>
    </row>
    <row r="114">
      <c r="I114" s="2"/>
    </row>
    <row r="115">
      <c r="I115" s="2"/>
    </row>
    <row r="116">
      <c r="I116" s="2"/>
    </row>
    <row r="117">
      <c r="I117" s="2"/>
    </row>
    <row r="118">
      <c r="I118" s="2"/>
    </row>
    <row r="119">
      <c r="I119" s="2"/>
    </row>
    <row r="120">
      <c r="I120" s="2"/>
    </row>
    <row r="121">
      <c r="I121" s="2"/>
    </row>
    <row r="122">
      <c r="I122" s="2"/>
    </row>
    <row r="123">
      <c r="I123" s="2"/>
    </row>
    <row r="124">
      <c r="I124" s="2"/>
    </row>
    <row r="125">
      <c r="I125" s="2"/>
    </row>
    <row r="126">
      <c r="I126" s="2"/>
    </row>
    <row r="127">
      <c r="I127" s="2"/>
    </row>
    <row r="128">
      <c r="I128" s="2"/>
    </row>
    <row r="129">
      <c r="I129" s="2"/>
    </row>
    <row r="130">
      <c r="I130" s="2"/>
    </row>
    <row r="131">
      <c r="I131" s="2"/>
    </row>
    <row r="132">
      <c r="I132" s="2"/>
    </row>
    <row r="133">
      <c r="I133" s="2"/>
    </row>
    <row r="134">
      <c r="I134" s="2"/>
    </row>
    <row r="135">
      <c r="I135" s="2"/>
    </row>
    <row r="136">
      <c r="I136" s="2"/>
    </row>
    <row r="137">
      <c r="I137" s="2"/>
    </row>
    <row r="138">
      <c r="I138" s="2"/>
    </row>
    <row r="139">
      <c r="I139" s="2"/>
    </row>
    <row r="140">
      <c r="I140" s="2"/>
    </row>
    <row r="141">
      <c r="I141" s="2"/>
    </row>
    <row r="142">
      <c r="I142" s="2"/>
    </row>
    <row r="143">
      <c r="I143" s="2"/>
    </row>
    <row r="144">
      <c r="I144" s="2"/>
    </row>
    <row r="145">
      <c r="I145" s="2"/>
    </row>
    <row r="146">
      <c r="I146" s="2"/>
    </row>
    <row r="147">
      <c r="I147" s="2"/>
    </row>
    <row r="148">
      <c r="I148" s="2"/>
    </row>
    <row r="149">
      <c r="I149" s="2"/>
    </row>
    <row r="150">
      <c r="I150" s="2"/>
    </row>
    <row r="151">
      <c r="I151" s="2"/>
    </row>
    <row r="152">
      <c r="I152" s="2"/>
    </row>
    <row r="153">
      <c r="I153" s="2"/>
    </row>
    <row r="154">
      <c r="I154" s="2"/>
    </row>
    <row r="155">
      <c r="I155" s="2"/>
    </row>
    <row r="156">
      <c r="I156" s="2"/>
    </row>
    <row r="157">
      <c r="I157" s="2"/>
    </row>
    <row r="158">
      <c r="I158" s="2"/>
    </row>
    <row r="159">
      <c r="I159" s="2"/>
    </row>
    <row r="160">
      <c r="I160" s="2"/>
    </row>
    <row r="161">
      <c r="I161" s="2"/>
    </row>
    <row r="162">
      <c r="I162" s="2"/>
    </row>
    <row r="163">
      <c r="I163" s="2"/>
    </row>
    <row r="164">
      <c r="I164" s="2"/>
    </row>
    <row r="165">
      <c r="I165" s="2"/>
    </row>
    <row r="166">
      <c r="I166" s="2"/>
    </row>
    <row r="167">
      <c r="I167" s="2"/>
    </row>
    <row r="168">
      <c r="I168" s="2"/>
    </row>
    <row r="169">
      <c r="I169" s="2"/>
    </row>
    <row r="170">
      <c r="I170" s="2"/>
    </row>
    <row r="171">
      <c r="I171" s="2"/>
    </row>
    <row r="172">
      <c r="I172" s="2"/>
    </row>
    <row r="173">
      <c r="I173" s="2"/>
    </row>
    <row r="174">
      <c r="I174" s="2"/>
    </row>
    <row r="175">
      <c r="I175" s="2"/>
    </row>
    <row r="176">
      <c r="I176" s="2"/>
    </row>
    <row r="177">
      <c r="I177" s="2"/>
    </row>
    <row r="178">
      <c r="I178" s="2"/>
    </row>
    <row r="179">
      <c r="I179" s="2"/>
    </row>
    <row r="180">
      <c r="I180" s="2"/>
    </row>
    <row r="181">
      <c r="I181" s="2"/>
    </row>
    <row r="182">
      <c r="I182" s="2"/>
    </row>
    <row r="183">
      <c r="I183" s="2"/>
    </row>
    <row r="184">
      <c r="I184" s="2"/>
    </row>
    <row r="185">
      <c r="I185" s="2"/>
    </row>
    <row r="186">
      <c r="I186" s="2"/>
    </row>
    <row r="187">
      <c r="I187" s="2"/>
    </row>
    <row r="188">
      <c r="I188" s="2"/>
    </row>
    <row r="189">
      <c r="I189" s="2"/>
    </row>
    <row r="190">
      <c r="I190" s="2"/>
    </row>
    <row r="191">
      <c r="I191" s="2"/>
    </row>
    <row r="192">
      <c r="I192" s="2"/>
    </row>
    <row r="193">
      <c r="I193" s="2"/>
    </row>
    <row r="194">
      <c r="I194" s="2"/>
    </row>
    <row r="195">
      <c r="I195" s="2"/>
    </row>
    <row r="196">
      <c r="I196" s="2"/>
    </row>
    <row r="197">
      <c r="I197" s="2"/>
    </row>
    <row r="198">
      <c r="I198" s="2"/>
    </row>
    <row r="199">
      <c r="I199" s="2"/>
    </row>
    <row r="200">
      <c r="I200" s="2"/>
    </row>
    <row r="201">
      <c r="I201" s="2"/>
    </row>
    <row r="202">
      <c r="I202" s="2"/>
    </row>
    <row r="203">
      <c r="I203" s="2"/>
    </row>
    <row r="204">
      <c r="I204" s="2"/>
    </row>
    <row r="205">
      <c r="I205" s="2"/>
    </row>
    <row r="206">
      <c r="I206" s="2"/>
    </row>
    <row r="207">
      <c r="I207" s="2"/>
    </row>
    <row r="208">
      <c r="I208" s="2"/>
    </row>
    <row r="209">
      <c r="I209" s="2"/>
    </row>
    <row r="210">
      <c r="I210" s="2"/>
    </row>
    <row r="211">
      <c r="I211" s="2"/>
    </row>
    <row r="212">
      <c r="I212" s="2"/>
    </row>
    <row r="213">
      <c r="I213" s="2"/>
    </row>
    <row r="214">
      <c r="I214" s="2"/>
    </row>
    <row r="215">
      <c r="I215" s="2"/>
    </row>
    <row r="216">
      <c r="I216" s="2"/>
    </row>
    <row r="217">
      <c r="I217" s="2"/>
    </row>
    <row r="218">
      <c r="I218" s="2"/>
    </row>
    <row r="219">
      <c r="I219" s="2"/>
    </row>
    <row r="220">
      <c r="I220" s="2"/>
    </row>
    <row r="221">
      <c r="I221" s="2"/>
    </row>
    <row r="222">
      <c r="I222" s="2"/>
    </row>
    <row r="223">
      <c r="I223" s="2"/>
    </row>
    <row r="224">
      <c r="I224" s="2"/>
    </row>
    <row r="225">
      <c r="I225" s="2"/>
    </row>
    <row r="226">
      <c r="I226" s="2"/>
    </row>
    <row r="227">
      <c r="I227" s="2"/>
    </row>
    <row r="228">
      <c r="I228" s="2"/>
    </row>
    <row r="229">
      <c r="I229" s="2"/>
    </row>
    <row r="230">
      <c r="I230" s="2"/>
    </row>
    <row r="231">
      <c r="I231" s="2"/>
    </row>
    <row r="232">
      <c r="I232" s="2"/>
    </row>
    <row r="233">
      <c r="I233" s="2"/>
    </row>
    <row r="234">
      <c r="I234" s="2"/>
    </row>
    <row r="235">
      <c r="I235" s="2"/>
    </row>
    <row r="236">
      <c r="I236" s="2"/>
    </row>
    <row r="237">
      <c r="I237" s="2"/>
    </row>
    <row r="238">
      <c r="I238" s="2"/>
    </row>
    <row r="239">
      <c r="I239" s="2"/>
    </row>
    <row r="240">
      <c r="I240" s="2"/>
    </row>
    <row r="241">
      <c r="I241" s="2"/>
    </row>
    <row r="242">
      <c r="I242" s="2"/>
    </row>
    <row r="243">
      <c r="I243" s="2"/>
    </row>
    <row r="244">
      <c r="I244" s="2"/>
    </row>
    <row r="245">
      <c r="I245" s="2"/>
    </row>
    <row r="246">
      <c r="I246" s="2"/>
    </row>
    <row r="247">
      <c r="I247" s="2"/>
    </row>
    <row r="248">
      <c r="I248" s="2"/>
    </row>
    <row r="249">
      <c r="I249" s="2"/>
    </row>
    <row r="250">
      <c r="I250" s="2"/>
    </row>
    <row r="251">
      <c r="I251" s="2"/>
    </row>
    <row r="252">
      <c r="I252" s="2"/>
    </row>
    <row r="253">
      <c r="I253" s="2"/>
    </row>
    <row r="254">
      <c r="I254" s="2"/>
    </row>
    <row r="255">
      <c r="I255" s="2"/>
    </row>
    <row r="256">
      <c r="I256" s="2"/>
    </row>
    <row r="257">
      <c r="I257" s="2"/>
    </row>
    <row r="258">
      <c r="I258" s="2"/>
    </row>
    <row r="259">
      <c r="I259" s="2"/>
    </row>
    <row r="260">
      <c r="I260" s="2"/>
    </row>
    <row r="261">
      <c r="I261" s="2"/>
    </row>
    <row r="262">
      <c r="I262" s="2"/>
    </row>
    <row r="263">
      <c r="I263" s="2"/>
    </row>
    <row r="264">
      <c r="I264" s="2"/>
    </row>
    <row r="265">
      <c r="I265" s="2"/>
    </row>
    <row r="266">
      <c r="I266" s="2"/>
    </row>
    <row r="267">
      <c r="I267" s="2"/>
    </row>
    <row r="268">
      <c r="I268" s="2"/>
    </row>
    <row r="269">
      <c r="I269" s="2"/>
    </row>
    <row r="270">
      <c r="I270" s="2"/>
    </row>
    <row r="271">
      <c r="I271" s="2"/>
    </row>
    <row r="272">
      <c r="I272" s="2"/>
    </row>
    <row r="273">
      <c r="I273" s="2"/>
    </row>
    <row r="274">
      <c r="I274" s="2"/>
    </row>
    <row r="275">
      <c r="I275" s="2"/>
    </row>
    <row r="276">
      <c r="I276" s="2"/>
    </row>
    <row r="277">
      <c r="I277" s="2"/>
    </row>
    <row r="278">
      <c r="I278" s="2"/>
    </row>
    <row r="279">
      <c r="I279" s="2"/>
    </row>
    <row r="280">
      <c r="I280" s="2"/>
    </row>
    <row r="281">
      <c r="I281" s="2"/>
    </row>
    <row r="282">
      <c r="I282" s="2"/>
    </row>
    <row r="283">
      <c r="I283" s="2"/>
    </row>
    <row r="284">
      <c r="I284" s="2"/>
    </row>
    <row r="285">
      <c r="I285" s="2"/>
    </row>
    <row r="286">
      <c r="I286" s="2"/>
    </row>
    <row r="287">
      <c r="I287" s="2"/>
    </row>
    <row r="288">
      <c r="I288" s="2"/>
    </row>
    <row r="289">
      <c r="I289" s="2"/>
    </row>
    <row r="290">
      <c r="I290" s="2"/>
    </row>
    <row r="291">
      <c r="I291" s="2"/>
    </row>
    <row r="292">
      <c r="I292" s="2"/>
    </row>
    <row r="293">
      <c r="I293" s="2"/>
    </row>
    <row r="294">
      <c r="I294" s="2"/>
    </row>
    <row r="295">
      <c r="I295" s="2"/>
    </row>
    <row r="296">
      <c r="I296" s="2"/>
    </row>
    <row r="297">
      <c r="I297" s="2"/>
    </row>
    <row r="298">
      <c r="I298" s="2"/>
    </row>
    <row r="299">
      <c r="I299" s="2"/>
    </row>
    <row r="300">
      <c r="I300" s="2"/>
    </row>
    <row r="301">
      <c r="I301" s="2"/>
    </row>
    <row r="302">
      <c r="I302" s="2"/>
    </row>
    <row r="303">
      <c r="I303" s="2"/>
    </row>
    <row r="304">
      <c r="I304" s="2"/>
    </row>
    <row r="305">
      <c r="I305" s="2"/>
    </row>
    <row r="306">
      <c r="I306" s="2"/>
    </row>
    <row r="307">
      <c r="I307" s="2"/>
    </row>
    <row r="308">
      <c r="I308" s="2"/>
    </row>
    <row r="309">
      <c r="I309" s="2"/>
    </row>
    <row r="310">
      <c r="I310" s="2"/>
    </row>
    <row r="311">
      <c r="I311" s="2"/>
    </row>
    <row r="312">
      <c r="I312" s="2"/>
    </row>
    <row r="313">
      <c r="I313" s="2"/>
    </row>
    <row r="314">
      <c r="I314" s="2"/>
    </row>
    <row r="315">
      <c r="I315" s="2"/>
    </row>
    <row r="316">
      <c r="I316" s="2"/>
    </row>
    <row r="317">
      <c r="I317" s="2"/>
    </row>
    <row r="318">
      <c r="I318" s="2"/>
    </row>
    <row r="319">
      <c r="I319" s="2"/>
    </row>
    <row r="320">
      <c r="I320" s="2"/>
    </row>
    <row r="321">
      <c r="I321" s="2"/>
    </row>
    <row r="322">
      <c r="I322" s="2"/>
    </row>
    <row r="323">
      <c r="I323" s="2"/>
    </row>
    <row r="324">
      <c r="I324" s="2"/>
    </row>
    <row r="325">
      <c r="I325" s="2"/>
    </row>
    <row r="326">
      <c r="I326" s="2"/>
    </row>
    <row r="327">
      <c r="I327" s="2"/>
    </row>
    <row r="328">
      <c r="I328" s="2"/>
    </row>
    <row r="329">
      <c r="I329" s="2"/>
    </row>
    <row r="330">
      <c r="I330" s="2"/>
    </row>
    <row r="331">
      <c r="I331" s="2"/>
    </row>
    <row r="332">
      <c r="I332" s="2"/>
    </row>
    <row r="333">
      <c r="I333" s="2"/>
    </row>
    <row r="334">
      <c r="I334" s="2"/>
    </row>
    <row r="335">
      <c r="I335" s="2"/>
    </row>
    <row r="336">
      <c r="I336" s="2"/>
    </row>
    <row r="337">
      <c r="I337" s="2"/>
    </row>
    <row r="338">
      <c r="I338" s="2"/>
    </row>
    <row r="339">
      <c r="I339" s="2"/>
    </row>
    <row r="340">
      <c r="I340" s="2"/>
    </row>
    <row r="341">
      <c r="I341" s="2"/>
    </row>
    <row r="342">
      <c r="I342" s="2"/>
    </row>
    <row r="343">
      <c r="I343" s="2"/>
    </row>
    <row r="344">
      <c r="I344" s="2"/>
    </row>
    <row r="345">
      <c r="I345" s="2"/>
    </row>
    <row r="346">
      <c r="I346" s="2"/>
    </row>
    <row r="347">
      <c r="I347" s="2"/>
    </row>
    <row r="348">
      <c r="I348" s="2"/>
    </row>
    <row r="349">
      <c r="I349" s="2"/>
    </row>
    <row r="350">
      <c r="I350" s="2"/>
    </row>
    <row r="351">
      <c r="I351" s="2"/>
    </row>
    <row r="352">
      <c r="I352" s="2"/>
    </row>
    <row r="353">
      <c r="I353" s="2"/>
    </row>
    <row r="354">
      <c r="I354" s="2"/>
    </row>
    <row r="355">
      <c r="I355" s="2"/>
    </row>
    <row r="356">
      <c r="I356" s="2"/>
    </row>
    <row r="357">
      <c r="I357" s="2"/>
    </row>
    <row r="358">
      <c r="I358" s="2"/>
    </row>
    <row r="359">
      <c r="I359" s="2"/>
    </row>
    <row r="360">
      <c r="I360" s="2"/>
    </row>
    <row r="361">
      <c r="I361" s="2"/>
    </row>
    <row r="362">
      <c r="I362" s="2"/>
    </row>
    <row r="363">
      <c r="I363" s="2"/>
    </row>
    <row r="364">
      <c r="I364" s="2"/>
    </row>
    <row r="365">
      <c r="I365" s="2"/>
    </row>
    <row r="366">
      <c r="I366" s="2"/>
    </row>
    <row r="367">
      <c r="I367" s="2"/>
    </row>
    <row r="368">
      <c r="I368" s="2"/>
    </row>
    <row r="369">
      <c r="I369" s="2"/>
    </row>
    <row r="370">
      <c r="I370" s="2"/>
    </row>
    <row r="371">
      <c r="I371" s="2"/>
    </row>
    <row r="372">
      <c r="I372" s="2"/>
    </row>
    <row r="373">
      <c r="I373" s="2"/>
    </row>
    <row r="374">
      <c r="I374" s="2"/>
    </row>
    <row r="375">
      <c r="I375" s="2"/>
    </row>
    <row r="376">
      <c r="I376" s="2"/>
    </row>
    <row r="377">
      <c r="I377" s="2"/>
    </row>
    <row r="378">
      <c r="I378" s="2"/>
    </row>
    <row r="379">
      <c r="I379" s="2"/>
    </row>
    <row r="380">
      <c r="I380" s="2"/>
    </row>
    <row r="381">
      <c r="I381" s="2"/>
    </row>
    <row r="382">
      <c r="I382" s="2"/>
    </row>
    <row r="383">
      <c r="I383" s="2"/>
    </row>
    <row r="384">
      <c r="I384" s="2"/>
    </row>
    <row r="385">
      <c r="I385" s="2"/>
    </row>
    <row r="386">
      <c r="I386" s="2"/>
    </row>
    <row r="387">
      <c r="I387" s="2"/>
    </row>
    <row r="388">
      <c r="I388" s="2"/>
    </row>
    <row r="389">
      <c r="I389" s="2"/>
    </row>
    <row r="390">
      <c r="I390" s="2"/>
    </row>
    <row r="391">
      <c r="I391" s="2"/>
    </row>
    <row r="392">
      <c r="I392" s="2"/>
    </row>
    <row r="393">
      <c r="I393" s="2"/>
    </row>
    <row r="394">
      <c r="I394" s="2"/>
    </row>
    <row r="395">
      <c r="I395" s="2"/>
    </row>
    <row r="396">
      <c r="I396" s="2"/>
    </row>
    <row r="397">
      <c r="I397" s="2"/>
    </row>
    <row r="398">
      <c r="I398" s="2"/>
    </row>
    <row r="399">
      <c r="I399" s="2"/>
    </row>
    <row r="400">
      <c r="I400" s="2"/>
    </row>
    <row r="401">
      <c r="I401" s="2"/>
    </row>
    <row r="402">
      <c r="I402" s="2"/>
    </row>
    <row r="403">
      <c r="I403" s="2"/>
    </row>
    <row r="404">
      <c r="I404" s="2"/>
    </row>
    <row r="405">
      <c r="I405" s="2"/>
    </row>
    <row r="406">
      <c r="I406" s="2"/>
    </row>
    <row r="407">
      <c r="I407" s="2"/>
    </row>
    <row r="408">
      <c r="I408" s="2"/>
    </row>
    <row r="409">
      <c r="I409" s="2"/>
    </row>
    <row r="410">
      <c r="I410" s="2"/>
    </row>
    <row r="411">
      <c r="I411" s="2"/>
    </row>
    <row r="412">
      <c r="I412" s="2"/>
    </row>
    <row r="413">
      <c r="I413" s="2"/>
    </row>
    <row r="414">
      <c r="I414" s="2"/>
    </row>
    <row r="415">
      <c r="I415" s="2"/>
    </row>
    <row r="416">
      <c r="I416" s="2"/>
    </row>
    <row r="417">
      <c r="I417" s="2"/>
    </row>
    <row r="418">
      <c r="I418" s="2"/>
    </row>
    <row r="419">
      <c r="I419" s="2"/>
    </row>
    <row r="420">
      <c r="I420" s="2"/>
    </row>
    <row r="421">
      <c r="I421" s="2"/>
    </row>
    <row r="422">
      <c r="I422" s="2"/>
    </row>
    <row r="423">
      <c r="I423" s="2"/>
    </row>
    <row r="424">
      <c r="I424" s="2"/>
    </row>
    <row r="425">
      <c r="I425" s="2"/>
    </row>
    <row r="426">
      <c r="I426" s="2"/>
    </row>
    <row r="427">
      <c r="I427" s="2"/>
    </row>
    <row r="428">
      <c r="I428" s="2"/>
    </row>
    <row r="429">
      <c r="I429" s="2"/>
    </row>
    <row r="430">
      <c r="I430" s="2"/>
    </row>
    <row r="431">
      <c r="I431" s="2"/>
    </row>
    <row r="432">
      <c r="I432" s="2"/>
    </row>
    <row r="433">
      <c r="I433" s="2"/>
    </row>
    <row r="434">
      <c r="I434" s="2"/>
    </row>
    <row r="435">
      <c r="I435" s="2"/>
    </row>
    <row r="436">
      <c r="I436" s="2"/>
    </row>
    <row r="437">
      <c r="I437" s="2"/>
    </row>
    <row r="438">
      <c r="I438" s="2"/>
    </row>
    <row r="439">
      <c r="I439" s="2"/>
    </row>
    <row r="440">
      <c r="I440" s="2"/>
    </row>
    <row r="441">
      <c r="I441" s="2"/>
    </row>
    <row r="442">
      <c r="I442" s="2"/>
    </row>
    <row r="443">
      <c r="I443" s="2"/>
    </row>
    <row r="444">
      <c r="I444" s="2"/>
    </row>
    <row r="445">
      <c r="I445" s="2"/>
    </row>
    <row r="446">
      <c r="I446" s="2"/>
    </row>
    <row r="447">
      <c r="I447" s="2"/>
    </row>
    <row r="448">
      <c r="I448" s="2"/>
    </row>
    <row r="449">
      <c r="I449" s="2"/>
    </row>
    <row r="450">
      <c r="I450" s="2"/>
    </row>
    <row r="451">
      <c r="I451" s="2"/>
    </row>
    <row r="452">
      <c r="I452" s="2"/>
    </row>
    <row r="453">
      <c r="I453" s="2"/>
    </row>
    <row r="454">
      <c r="I454" s="2"/>
    </row>
    <row r="455">
      <c r="I455" s="2"/>
    </row>
    <row r="456">
      <c r="I456" s="2"/>
    </row>
    <row r="457">
      <c r="I457" s="2"/>
    </row>
    <row r="458">
      <c r="I458" s="2"/>
    </row>
    <row r="459">
      <c r="I459" s="2"/>
    </row>
    <row r="460">
      <c r="I460" s="2"/>
    </row>
    <row r="461">
      <c r="I461" s="2"/>
    </row>
    <row r="462">
      <c r="I462" s="2"/>
    </row>
    <row r="463">
      <c r="I463" s="2"/>
    </row>
    <row r="464">
      <c r="I464" s="2"/>
    </row>
    <row r="465">
      <c r="I465" s="2"/>
    </row>
    <row r="466">
      <c r="I466" s="2"/>
    </row>
    <row r="467">
      <c r="I467" s="2"/>
    </row>
    <row r="468">
      <c r="I468" s="2"/>
    </row>
    <row r="469">
      <c r="I469" s="2"/>
    </row>
    <row r="470">
      <c r="I470" s="2"/>
    </row>
    <row r="471">
      <c r="I471" s="2"/>
    </row>
    <row r="472">
      <c r="I472" s="2"/>
    </row>
    <row r="473">
      <c r="I473" s="2"/>
    </row>
    <row r="474">
      <c r="I474" s="2"/>
    </row>
    <row r="475">
      <c r="I475" s="2"/>
    </row>
    <row r="476">
      <c r="I476" s="2"/>
    </row>
    <row r="477">
      <c r="I477" s="2"/>
    </row>
    <row r="478">
      <c r="I478" s="2"/>
    </row>
    <row r="479">
      <c r="I479" s="2"/>
    </row>
    <row r="480">
      <c r="I480" s="2"/>
    </row>
    <row r="481">
      <c r="I481" s="2"/>
    </row>
    <row r="482">
      <c r="I482" s="2"/>
    </row>
    <row r="483">
      <c r="I483" s="2"/>
    </row>
    <row r="484">
      <c r="I484" s="2"/>
    </row>
    <row r="485">
      <c r="I485" s="2"/>
    </row>
    <row r="486">
      <c r="I486" s="2"/>
    </row>
    <row r="487">
      <c r="I487" s="2"/>
    </row>
    <row r="488">
      <c r="I488" s="2"/>
    </row>
    <row r="489">
      <c r="I489" s="2"/>
    </row>
    <row r="490">
      <c r="I490" s="2"/>
    </row>
    <row r="491">
      <c r="I491" s="2"/>
    </row>
    <row r="492">
      <c r="I492" s="2"/>
    </row>
    <row r="493">
      <c r="I493" s="2"/>
    </row>
    <row r="494">
      <c r="I494" s="2"/>
    </row>
    <row r="495">
      <c r="I495" s="2"/>
    </row>
    <row r="496">
      <c r="I496" s="2"/>
    </row>
    <row r="497">
      <c r="I497" s="2"/>
    </row>
    <row r="498">
      <c r="I498" s="2"/>
    </row>
    <row r="499">
      <c r="I499" s="2"/>
    </row>
    <row r="500">
      <c r="I500" s="2"/>
    </row>
    <row r="501">
      <c r="I501" s="2"/>
    </row>
    <row r="502">
      <c r="I502" s="2"/>
    </row>
    <row r="503">
      <c r="I503" s="2"/>
    </row>
    <row r="504">
      <c r="I504" s="2"/>
    </row>
    <row r="505">
      <c r="I505" s="2"/>
    </row>
    <row r="506">
      <c r="I506" s="2"/>
    </row>
    <row r="507">
      <c r="I507" s="2"/>
    </row>
    <row r="508">
      <c r="I508" s="2"/>
    </row>
    <row r="509">
      <c r="I509" s="2"/>
    </row>
    <row r="510">
      <c r="I510" s="2"/>
    </row>
    <row r="511">
      <c r="I511" s="2"/>
    </row>
    <row r="512">
      <c r="I512" s="2"/>
    </row>
    <row r="513">
      <c r="I513" s="2"/>
    </row>
    <row r="514">
      <c r="I514" s="2"/>
    </row>
    <row r="515">
      <c r="I515" s="2"/>
    </row>
    <row r="516">
      <c r="I516" s="2"/>
    </row>
    <row r="517">
      <c r="I517" s="2"/>
    </row>
    <row r="518">
      <c r="I518" s="2"/>
    </row>
    <row r="519">
      <c r="I519" s="2"/>
    </row>
    <row r="520">
      <c r="I520" s="2"/>
    </row>
    <row r="521">
      <c r="I521" s="2"/>
    </row>
    <row r="522">
      <c r="I522" s="2"/>
    </row>
    <row r="523">
      <c r="I523" s="2"/>
    </row>
    <row r="524">
      <c r="I524" s="2"/>
    </row>
    <row r="525">
      <c r="I525" s="2"/>
    </row>
    <row r="526">
      <c r="I526" s="2"/>
    </row>
    <row r="527">
      <c r="I527" s="2"/>
    </row>
    <row r="528">
      <c r="I528" s="2"/>
    </row>
    <row r="529">
      <c r="I529" s="2"/>
    </row>
    <row r="530">
      <c r="I530" s="2"/>
    </row>
    <row r="531">
      <c r="I531" s="2"/>
    </row>
    <row r="532">
      <c r="I532" s="2"/>
    </row>
    <row r="533">
      <c r="I533" s="2"/>
    </row>
    <row r="534">
      <c r="I534" s="2"/>
    </row>
    <row r="535">
      <c r="I535" s="2"/>
    </row>
    <row r="536">
      <c r="I536" s="2"/>
    </row>
    <row r="537">
      <c r="I537" s="2"/>
    </row>
    <row r="538">
      <c r="I538" s="2"/>
    </row>
    <row r="539">
      <c r="I539" s="2"/>
    </row>
    <row r="540">
      <c r="I540" s="2"/>
    </row>
    <row r="541">
      <c r="I541" s="2"/>
    </row>
    <row r="542">
      <c r="I542" s="2"/>
    </row>
    <row r="543">
      <c r="I543" s="2"/>
    </row>
    <row r="544">
      <c r="I544" s="2"/>
    </row>
    <row r="545">
      <c r="I545" s="2"/>
    </row>
    <row r="546">
      <c r="I546" s="2"/>
    </row>
    <row r="547">
      <c r="I547" s="2"/>
    </row>
    <row r="548">
      <c r="I548" s="2"/>
    </row>
    <row r="549">
      <c r="I549" s="2"/>
    </row>
    <row r="550">
      <c r="I550" s="2"/>
    </row>
    <row r="551">
      <c r="I551" s="2"/>
    </row>
    <row r="552">
      <c r="I552" s="2"/>
    </row>
    <row r="553">
      <c r="I553" s="2"/>
    </row>
    <row r="554">
      <c r="I554" s="2"/>
    </row>
    <row r="555">
      <c r="I555" s="2"/>
    </row>
    <row r="556">
      <c r="I556" s="2"/>
    </row>
    <row r="557">
      <c r="I557" s="2"/>
    </row>
    <row r="558">
      <c r="I558" s="2"/>
    </row>
    <row r="559">
      <c r="I559" s="2"/>
    </row>
    <row r="560">
      <c r="I560" s="2"/>
    </row>
    <row r="561">
      <c r="I561" s="2"/>
    </row>
    <row r="562">
      <c r="I562" s="2"/>
    </row>
    <row r="563">
      <c r="I563" s="2"/>
    </row>
    <row r="564">
      <c r="I564" s="2"/>
    </row>
    <row r="565">
      <c r="I565" s="2"/>
    </row>
    <row r="566">
      <c r="I566" s="2"/>
    </row>
    <row r="567">
      <c r="I567" s="2"/>
    </row>
    <row r="568">
      <c r="I568" s="2"/>
    </row>
    <row r="569">
      <c r="I569" s="2"/>
    </row>
    <row r="570">
      <c r="I570" s="2"/>
    </row>
    <row r="571">
      <c r="I571" s="2"/>
    </row>
    <row r="572">
      <c r="I572" s="2"/>
    </row>
    <row r="573">
      <c r="I573" s="2"/>
    </row>
    <row r="574">
      <c r="I574" s="2"/>
    </row>
    <row r="575">
      <c r="I575" s="2"/>
    </row>
    <row r="576">
      <c r="I576" s="2"/>
    </row>
    <row r="577">
      <c r="I577" s="2"/>
    </row>
    <row r="578">
      <c r="I578" s="2"/>
    </row>
    <row r="579">
      <c r="I579" s="2"/>
    </row>
    <row r="580">
      <c r="I580" s="2"/>
    </row>
    <row r="581">
      <c r="I581" s="2"/>
    </row>
    <row r="582">
      <c r="I582" s="2"/>
    </row>
    <row r="583">
      <c r="I583" s="2"/>
    </row>
    <row r="584">
      <c r="I584" s="2"/>
    </row>
    <row r="585">
      <c r="I585" s="2"/>
    </row>
    <row r="586">
      <c r="I586" s="2"/>
    </row>
    <row r="587">
      <c r="I587" s="2"/>
    </row>
    <row r="588">
      <c r="I588" s="2"/>
    </row>
    <row r="589">
      <c r="I589" s="2"/>
    </row>
    <row r="590">
      <c r="I590" s="2"/>
    </row>
    <row r="591">
      <c r="I591" s="2"/>
    </row>
    <row r="592">
      <c r="I592" s="2"/>
    </row>
    <row r="593">
      <c r="I593" s="2"/>
    </row>
    <row r="594">
      <c r="I594" s="2"/>
    </row>
    <row r="595">
      <c r="I595" s="2"/>
    </row>
    <row r="596">
      <c r="I596" s="2"/>
    </row>
    <row r="597">
      <c r="I597" s="2"/>
    </row>
    <row r="598">
      <c r="I598" s="2"/>
    </row>
    <row r="599">
      <c r="I599" s="2"/>
    </row>
    <row r="600">
      <c r="I600" s="2"/>
    </row>
    <row r="601">
      <c r="I601" s="2"/>
    </row>
    <row r="602">
      <c r="I602" s="2"/>
    </row>
    <row r="603">
      <c r="I603" s="2"/>
    </row>
    <row r="604">
      <c r="I604" s="2"/>
    </row>
    <row r="605">
      <c r="I605" s="2"/>
    </row>
    <row r="606">
      <c r="I606" s="2"/>
    </row>
    <row r="607">
      <c r="I607" s="2"/>
    </row>
    <row r="608">
      <c r="I608" s="2"/>
    </row>
    <row r="609">
      <c r="I609" s="2"/>
    </row>
    <row r="610">
      <c r="I610" s="2"/>
    </row>
    <row r="611">
      <c r="I611" s="2"/>
    </row>
    <row r="612">
      <c r="I612" s="2"/>
    </row>
    <row r="613">
      <c r="I613" s="2"/>
    </row>
    <row r="614">
      <c r="I614" s="2"/>
    </row>
    <row r="615">
      <c r="I615" s="2"/>
    </row>
    <row r="616">
      <c r="I616" s="2"/>
    </row>
    <row r="617">
      <c r="I617" s="2"/>
    </row>
    <row r="618">
      <c r="I618" s="2"/>
    </row>
    <row r="619">
      <c r="I619" s="2"/>
    </row>
    <row r="620">
      <c r="I620" s="2"/>
    </row>
    <row r="621">
      <c r="I621" s="2"/>
    </row>
    <row r="622">
      <c r="I622" s="2"/>
    </row>
    <row r="623">
      <c r="I623" s="2"/>
    </row>
    <row r="624">
      <c r="I624" s="2"/>
    </row>
    <row r="625">
      <c r="I625" s="2"/>
    </row>
    <row r="626">
      <c r="I626" s="2"/>
    </row>
    <row r="627">
      <c r="I627" s="2"/>
    </row>
    <row r="628">
      <c r="I628" s="2"/>
    </row>
    <row r="629">
      <c r="I629" s="2"/>
    </row>
    <row r="630">
      <c r="I630" s="2"/>
    </row>
    <row r="631">
      <c r="I631" s="2"/>
    </row>
    <row r="632">
      <c r="I632" s="2"/>
    </row>
    <row r="633">
      <c r="I633" s="2"/>
    </row>
    <row r="634">
      <c r="I634" s="2"/>
    </row>
    <row r="635">
      <c r="I635" s="2"/>
    </row>
    <row r="636">
      <c r="I636" s="2"/>
    </row>
    <row r="637">
      <c r="I637" s="2"/>
    </row>
    <row r="638">
      <c r="I638" s="2"/>
    </row>
    <row r="639">
      <c r="I639" s="2"/>
    </row>
    <row r="640">
      <c r="I640" s="2"/>
    </row>
    <row r="641">
      <c r="I641" s="2"/>
    </row>
    <row r="642">
      <c r="I642" s="2"/>
    </row>
    <row r="643">
      <c r="I643" s="2"/>
    </row>
    <row r="644">
      <c r="I644" s="2"/>
    </row>
    <row r="645">
      <c r="I645" s="2"/>
    </row>
    <row r="646">
      <c r="I646" s="2"/>
    </row>
    <row r="647">
      <c r="I647" s="2"/>
    </row>
    <row r="648">
      <c r="I648" s="2"/>
    </row>
    <row r="649">
      <c r="I649" s="2"/>
    </row>
    <row r="650">
      <c r="I650" s="2"/>
    </row>
    <row r="651">
      <c r="I651" s="2"/>
    </row>
    <row r="652">
      <c r="I652" s="2"/>
    </row>
    <row r="653">
      <c r="I653" s="2"/>
    </row>
    <row r="654">
      <c r="I654" s="2"/>
    </row>
    <row r="655">
      <c r="I655" s="2"/>
    </row>
    <row r="656">
      <c r="I656" s="2"/>
    </row>
    <row r="657">
      <c r="I657" s="2"/>
    </row>
    <row r="658">
      <c r="I658" s="2"/>
    </row>
    <row r="659">
      <c r="I659" s="2"/>
    </row>
    <row r="660">
      <c r="I660" s="2"/>
    </row>
    <row r="661">
      <c r="I661" s="2"/>
    </row>
    <row r="662">
      <c r="I662" s="2"/>
    </row>
    <row r="663">
      <c r="I663" s="2"/>
    </row>
    <row r="664">
      <c r="I664" s="2"/>
    </row>
    <row r="665">
      <c r="I665" s="2"/>
    </row>
    <row r="666">
      <c r="I666" s="2"/>
    </row>
    <row r="667">
      <c r="I667" s="2"/>
    </row>
    <row r="668">
      <c r="I668" s="2"/>
    </row>
    <row r="669">
      <c r="I669" s="2"/>
    </row>
    <row r="670">
      <c r="I670" s="2"/>
    </row>
    <row r="671">
      <c r="I671" s="2"/>
    </row>
    <row r="672">
      <c r="I672" s="2"/>
    </row>
    <row r="673">
      <c r="I673" s="2"/>
    </row>
    <row r="674">
      <c r="I674" s="2"/>
    </row>
    <row r="675">
      <c r="I675" s="2"/>
    </row>
    <row r="676">
      <c r="I676" s="2"/>
    </row>
    <row r="677">
      <c r="I677" s="2"/>
    </row>
    <row r="678">
      <c r="I678" s="2"/>
    </row>
    <row r="679">
      <c r="I679" s="2"/>
    </row>
    <row r="680">
      <c r="I680" s="2"/>
    </row>
    <row r="681">
      <c r="I681" s="2"/>
    </row>
    <row r="682">
      <c r="I682" s="2"/>
    </row>
    <row r="683">
      <c r="I683" s="2"/>
    </row>
    <row r="684">
      <c r="I684" s="2"/>
    </row>
    <row r="685">
      <c r="I685" s="2"/>
    </row>
    <row r="686">
      <c r="I686" s="2"/>
    </row>
    <row r="687">
      <c r="I687" s="2"/>
    </row>
    <row r="688">
      <c r="I688" s="2"/>
    </row>
    <row r="689">
      <c r="I689" s="2"/>
    </row>
    <row r="690">
      <c r="I690" s="2"/>
    </row>
    <row r="691">
      <c r="I691" s="2"/>
    </row>
    <row r="692">
      <c r="I692" s="2"/>
    </row>
    <row r="693">
      <c r="I693" s="2"/>
    </row>
    <row r="694">
      <c r="I694" s="2"/>
    </row>
    <row r="695">
      <c r="I695" s="2"/>
    </row>
    <row r="696">
      <c r="I696" s="2"/>
    </row>
    <row r="697">
      <c r="I697" s="2"/>
    </row>
    <row r="698">
      <c r="I698" s="2"/>
    </row>
    <row r="699">
      <c r="I699" s="2"/>
    </row>
    <row r="700">
      <c r="I700" s="2"/>
    </row>
    <row r="701">
      <c r="I701" s="2"/>
    </row>
    <row r="702">
      <c r="I702" s="2"/>
    </row>
    <row r="703">
      <c r="I703" s="2"/>
    </row>
    <row r="704">
      <c r="I704" s="2"/>
    </row>
    <row r="705">
      <c r="I705" s="2"/>
    </row>
    <row r="706">
      <c r="I706" s="2"/>
    </row>
    <row r="707">
      <c r="I707" s="2"/>
    </row>
    <row r="708">
      <c r="I708" s="2"/>
    </row>
    <row r="709">
      <c r="I709" s="2"/>
    </row>
    <row r="710">
      <c r="I710" s="2"/>
    </row>
    <row r="711">
      <c r="I711" s="2"/>
    </row>
    <row r="712">
      <c r="I712" s="2"/>
    </row>
    <row r="713">
      <c r="I713" s="2"/>
    </row>
    <row r="714">
      <c r="I714" s="2"/>
    </row>
    <row r="715">
      <c r="I715" s="2"/>
    </row>
    <row r="716">
      <c r="I716" s="2"/>
    </row>
    <row r="717">
      <c r="I717" s="2"/>
    </row>
    <row r="718">
      <c r="I718" s="2"/>
    </row>
    <row r="719">
      <c r="I719" s="2"/>
    </row>
    <row r="720">
      <c r="I720" s="2"/>
    </row>
    <row r="721">
      <c r="I721" s="2"/>
    </row>
    <row r="722">
      <c r="I722" s="2"/>
    </row>
    <row r="723">
      <c r="I723" s="2"/>
    </row>
    <row r="724">
      <c r="I724" s="2"/>
    </row>
    <row r="725">
      <c r="I725" s="2"/>
    </row>
    <row r="726">
      <c r="I726" s="2"/>
    </row>
    <row r="727">
      <c r="I727" s="2"/>
    </row>
    <row r="728">
      <c r="I728" s="2"/>
    </row>
    <row r="729">
      <c r="I729" s="2"/>
    </row>
    <row r="730">
      <c r="I730" s="2"/>
    </row>
    <row r="731">
      <c r="I731" s="2"/>
    </row>
    <row r="732">
      <c r="I732" s="2"/>
    </row>
    <row r="733">
      <c r="I733" s="2"/>
    </row>
    <row r="734">
      <c r="I734" s="2"/>
    </row>
    <row r="735">
      <c r="I735" s="2"/>
    </row>
    <row r="736">
      <c r="I736" s="2"/>
    </row>
    <row r="737">
      <c r="I737" s="2"/>
    </row>
    <row r="738">
      <c r="I738" s="2"/>
    </row>
    <row r="739">
      <c r="I739" s="2"/>
    </row>
    <row r="740">
      <c r="I740" s="2"/>
    </row>
    <row r="741">
      <c r="I741" s="2"/>
    </row>
    <row r="742">
      <c r="I742" s="2"/>
    </row>
    <row r="743">
      <c r="I743" s="2"/>
    </row>
    <row r="744">
      <c r="I744" s="2"/>
    </row>
    <row r="745">
      <c r="I745" s="2"/>
    </row>
    <row r="746">
      <c r="I746" s="2"/>
    </row>
    <row r="747">
      <c r="I747" s="2"/>
    </row>
    <row r="748">
      <c r="I748" s="2"/>
    </row>
    <row r="749">
      <c r="I749" s="2"/>
    </row>
    <row r="750">
      <c r="I750" s="2"/>
    </row>
    <row r="751">
      <c r="I751" s="2"/>
    </row>
    <row r="752">
      <c r="I752" s="2"/>
    </row>
    <row r="753">
      <c r="I753" s="2"/>
    </row>
    <row r="754">
      <c r="I754" s="2"/>
    </row>
    <row r="755">
      <c r="I755" s="2"/>
    </row>
    <row r="756">
      <c r="I756" s="2"/>
    </row>
    <row r="757">
      <c r="I757" s="2"/>
    </row>
    <row r="758">
      <c r="I758" s="2"/>
    </row>
    <row r="759">
      <c r="I759" s="2"/>
    </row>
    <row r="760">
      <c r="I760" s="2"/>
    </row>
    <row r="761">
      <c r="I761" s="2"/>
    </row>
    <row r="762">
      <c r="I762" s="2"/>
    </row>
    <row r="763">
      <c r="I763" s="2"/>
    </row>
    <row r="764">
      <c r="I764" s="2"/>
    </row>
    <row r="765">
      <c r="I765" s="2"/>
    </row>
    <row r="766">
      <c r="I766" s="2"/>
    </row>
    <row r="767">
      <c r="I767" s="2"/>
    </row>
    <row r="768">
      <c r="I768" s="2"/>
    </row>
    <row r="769">
      <c r="I769" s="2"/>
    </row>
    <row r="770">
      <c r="I770" s="2"/>
    </row>
    <row r="771">
      <c r="I771" s="2"/>
    </row>
    <row r="772">
      <c r="I772" s="2"/>
    </row>
    <row r="773">
      <c r="I773" s="2"/>
    </row>
    <row r="774">
      <c r="I774" s="2"/>
    </row>
    <row r="775">
      <c r="I775" s="2"/>
    </row>
    <row r="776">
      <c r="I776" s="2"/>
    </row>
    <row r="777">
      <c r="I777" s="2"/>
    </row>
    <row r="778">
      <c r="I778" s="2"/>
    </row>
    <row r="779">
      <c r="I779" s="2"/>
    </row>
    <row r="780">
      <c r="I780" s="2"/>
    </row>
    <row r="781">
      <c r="I781" s="2"/>
    </row>
    <row r="782">
      <c r="I782" s="2"/>
    </row>
    <row r="783">
      <c r="I783" s="2"/>
    </row>
    <row r="784">
      <c r="I784" s="2"/>
    </row>
    <row r="785">
      <c r="I785" s="2"/>
    </row>
    <row r="786">
      <c r="I786" s="2"/>
    </row>
    <row r="787">
      <c r="I787" s="2"/>
    </row>
    <row r="788">
      <c r="I788" s="2"/>
    </row>
    <row r="789">
      <c r="I789" s="2"/>
    </row>
    <row r="790">
      <c r="I790" s="2"/>
    </row>
    <row r="791">
      <c r="I791" s="2"/>
    </row>
    <row r="792">
      <c r="I792" s="2"/>
    </row>
    <row r="793">
      <c r="I793" s="2"/>
    </row>
    <row r="794">
      <c r="I794" s="2"/>
    </row>
    <row r="795">
      <c r="I795" s="2"/>
    </row>
    <row r="796">
      <c r="I796" s="2"/>
    </row>
    <row r="797">
      <c r="I797" s="2"/>
    </row>
    <row r="798">
      <c r="I798" s="2"/>
    </row>
    <row r="799">
      <c r="I799" s="2"/>
    </row>
    <row r="800">
      <c r="I800" s="2"/>
    </row>
    <row r="801">
      <c r="I801" s="2"/>
    </row>
    <row r="802">
      <c r="I802" s="2"/>
    </row>
    <row r="803">
      <c r="I803" s="2"/>
    </row>
    <row r="804">
      <c r="I804" s="2"/>
    </row>
    <row r="805">
      <c r="I805" s="2"/>
    </row>
    <row r="806">
      <c r="I806" s="2"/>
    </row>
    <row r="807">
      <c r="I807" s="2"/>
    </row>
    <row r="808">
      <c r="I808" s="2"/>
    </row>
    <row r="809">
      <c r="I809" s="2"/>
    </row>
    <row r="810">
      <c r="I810" s="2"/>
    </row>
    <row r="811">
      <c r="I811" s="2"/>
    </row>
    <row r="812">
      <c r="I812" s="2"/>
    </row>
    <row r="813">
      <c r="I813" s="2"/>
    </row>
    <row r="814">
      <c r="I814" s="2"/>
    </row>
    <row r="815">
      <c r="I815" s="2"/>
    </row>
    <row r="816">
      <c r="I816" s="2"/>
    </row>
    <row r="817">
      <c r="I817" s="2"/>
    </row>
    <row r="818">
      <c r="I818" s="2"/>
    </row>
    <row r="819">
      <c r="I819" s="2"/>
    </row>
    <row r="820">
      <c r="I820" s="2"/>
    </row>
    <row r="821">
      <c r="I821" s="2"/>
    </row>
    <row r="822">
      <c r="I822" s="2"/>
    </row>
    <row r="823">
      <c r="I823" s="2"/>
    </row>
    <row r="824">
      <c r="I824" s="2"/>
    </row>
    <row r="825">
      <c r="I825" s="2"/>
    </row>
    <row r="826">
      <c r="I826" s="2"/>
    </row>
    <row r="827">
      <c r="I827" s="2"/>
    </row>
    <row r="828">
      <c r="I828" s="2"/>
    </row>
    <row r="829">
      <c r="I829" s="2"/>
    </row>
    <row r="830">
      <c r="I830" s="2"/>
    </row>
    <row r="831">
      <c r="I831" s="2"/>
    </row>
    <row r="832">
      <c r="I832" s="2"/>
    </row>
    <row r="833">
      <c r="I833" s="2"/>
    </row>
    <row r="834">
      <c r="I834" s="2"/>
    </row>
    <row r="835">
      <c r="I835" s="2"/>
    </row>
    <row r="836">
      <c r="I836" s="2"/>
    </row>
    <row r="837">
      <c r="I837" s="2"/>
    </row>
    <row r="838">
      <c r="I838" s="2"/>
    </row>
    <row r="839">
      <c r="I839" s="2"/>
    </row>
    <row r="840">
      <c r="I840" s="2"/>
    </row>
    <row r="841">
      <c r="I841" s="2"/>
    </row>
    <row r="842">
      <c r="I842" s="2"/>
    </row>
    <row r="843">
      <c r="I843" s="2"/>
    </row>
    <row r="844">
      <c r="I844" s="2"/>
    </row>
    <row r="845">
      <c r="I845" s="2"/>
    </row>
    <row r="846">
      <c r="I846" s="2"/>
    </row>
    <row r="847">
      <c r="I847" s="2"/>
    </row>
    <row r="848">
      <c r="I848" s="2"/>
    </row>
    <row r="849">
      <c r="I849" s="2"/>
    </row>
    <row r="850">
      <c r="I850" s="2"/>
    </row>
    <row r="851">
      <c r="I851" s="2"/>
    </row>
    <row r="852">
      <c r="I852" s="2"/>
    </row>
    <row r="853">
      <c r="I853" s="2"/>
    </row>
    <row r="854">
      <c r="I854" s="2"/>
    </row>
    <row r="855">
      <c r="I855" s="2"/>
    </row>
    <row r="856">
      <c r="I856" s="2"/>
    </row>
    <row r="857">
      <c r="I857" s="2"/>
    </row>
    <row r="858">
      <c r="I858" s="2"/>
    </row>
    <row r="859">
      <c r="I859" s="2"/>
    </row>
    <row r="860">
      <c r="I860" s="2"/>
    </row>
    <row r="861">
      <c r="I861" s="2"/>
    </row>
    <row r="862">
      <c r="I862" s="2"/>
    </row>
    <row r="863">
      <c r="I863" s="2"/>
    </row>
    <row r="864">
      <c r="I864" s="2"/>
    </row>
    <row r="865">
      <c r="I865" s="2"/>
    </row>
    <row r="866">
      <c r="I866" s="2"/>
    </row>
    <row r="867">
      <c r="I867" s="2"/>
    </row>
    <row r="868">
      <c r="I868" s="2"/>
    </row>
    <row r="869">
      <c r="I869" s="2"/>
    </row>
    <row r="870">
      <c r="I870" s="2"/>
    </row>
    <row r="871">
      <c r="I871" s="2"/>
    </row>
    <row r="872">
      <c r="I872" s="2"/>
    </row>
    <row r="873">
      <c r="I873" s="2"/>
    </row>
    <row r="874">
      <c r="I874" s="2"/>
    </row>
    <row r="875">
      <c r="I875" s="2"/>
    </row>
    <row r="876">
      <c r="I876" s="2"/>
    </row>
    <row r="877">
      <c r="I877" s="2"/>
    </row>
    <row r="878">
      <c r="I878" s="2"/>
    </row>
    <row r="879">
      <c r="I879" s="2"/>
    </row>
    <row r="880">
      <c r="I880" s="2"/>
    </row>
    <row r="881">
      <c r="I881" s="2"/>
    </row>
    <row r="882">
      <c r="I882" s="2"/>
    </row>
    <row r="883">
      <c r="I883" s="2"/>
    </row>
    <row r="884">
      <c r="I884" s="2"/>
    </row>
    <row r="885">
      <c r="I885" s="2"/>
    </row>
    <row r="886">
      <c r="I886" s="2"/>
    </row>
    <row r="887">
      <c r="I887" s="2"/>
    </row>
    <row r="888">
      <c r="I888" s="2"/>
    </row>
    <row r="889">
      <c r="I889" s="2"/>
    </row>
    <row r="890">
      <c r="I890" s="2"/>
    </row>
    <row r="891">
      <c r="I891" s="2"/>
    </row>
    <row r="892">
      <c r="I892" s="2"/>
    </row>
    <row r="893">
      <c r="I893" s="2"/>
    </row>
    <row r="894">
      <c r="I894" s="2"/>
    </row>
    <row r="895">
      <c r="I895" s="2"/>
    </row>
    <row r="896">
      <c r="I896" s="2"/>
    </row>
    <row r="897">
      <c r="I897" s="2"/>
    </row>
    <row r="898">
      <c r="I898" s="2"/>
    </row>
    <row r="899">
      <c r="I899" s="2"/>
    </row>
    <row r="900">
      <c r="I900" s="2"/>
    </row>
    <row r="901">
      <c r="I901" s="2"/>
    </row>
    <row r="902">
      <c r="I902" s="2"/>
    </row>
    <row r="903">
      <c r="I903" s="2"/>
    </row>
    <row r="904">
      <c r="I904" s="2"/>
    </row>
    <row r="905">
      <c r="I905" s="2"/>
    </row>
    <row r="906">
      <c r="I906" s="2"/>
    </row>
    <row r="907">
      <c r="I907" s="2"/>
    </row>
    <row r="908">
      <c r="I908" s="2"/>
    </row>
    <row r="909">
      <c r="I909" s="2"/>
    </row>
    <row r="910">
      <c r="I910" s="2"/>
    </row>
    <row r="911">
      <c r="I911" s="2"/>
    </row>
    <row r="912">
      <c r="I912" s="2"/>
    </row>
    <row r="913">
      <c r="I913" s="2"/>
    </row>
    <row r="914">
      <c r="I914" s="2"/>
    </row>
    <row r="915">
      <c r="I915" s="2"/>
    </row>
    <row r="916">
      <c r="I916" s="2"/>
    </row>
    <row r="917">
      <c r="I917" s="2"/>
    </row>
    <row r="918">
      <c r="I918" s="2"/>
    </row>
    <row r="919">
      <c r="I919" s="2"/>
    </row>
    <row r="920">
      <c r="I920" s="2"/>
    </row>
    <row r="921">
      <c r="I921" s="2"/>
    </row>
    <row r="922">
      <c r="I922" s="2"/>
    </row>
    <row r="923">
      <c r="I923" s="2"/>
    </row>
    <row r="924">
      <c r="I924" s="2"/>
    </row>
    <row r="925">
      <c r="I925" s="2"/>
    </row>
    <row r="926">
      <c r="I926" s="2"/>
    </row>
    <row r="927">
      <c r="I927" s="2"/>
    </row>
    <row r="928">
      <c r="I928" s="2"/>
    </row>
    <row r="929">
      <c r="I929" s="2"/>
    </row>
    <row r="930">
      <c r="I930" s="2"/>
    </row>
    <row r="931">
      <c r="I931" s="2"/>
    </row>
    <row r="932">
      <c r="I932" s="2"/>
    </row>
    <row r="933">
      <c r="I933" s="2"/>
    </row>
    <row r="934">
      <c r="I934" s="2"/>
    </row>
    <row r="935">
      <c r="I935" s="2"/>
    </row>
    <row r="936">
      <c r="I936" s="2"/>
    </row>
    <row r="937">
      <c r="I937" s="2"/>
    </row>
    <row r="938">
      <c r="I938" s="2"/>
    </row>
    <row r="939">
      <c r="I939" s="2"/>
    </row>
    <row r="940">
      <c r="I940" s="2"/>
    </row>
    <row r="941">
      <c r="I941" s="2"/>
    </row>
    <row r="942">
      <c r="I942" s="2"/>
    </row>
    <row r="943">
      <c r="I943" s="2"/>
    </row>
    <row r="944">
      <c r="I944" s="2"/>
    </row>
    <row r="945">
      <c r="I945" s="2"/>
    </row>
    <row r="946">
      <c r="I946" s="2"/>
    </row>
    <row r="947">
      <c r="I947" s="2"/>
    </row>
    <row r="948">
      <c r="I948" s="2"/>
    </row>
    <row r="949">
      <c r="I949" s="2"/>
    </row>
    <row r="950">
      <c r="I950" s="2"/>
    </row>
    <row r="951">
      <c r="I951" s="2"/>
    </row>
    <row r="952">
      <c r="I952" s="2"/>
    </row>
    <row r="953">
      <c r="I953" s="2"/>
    </row>
    <row r="954">
      <c r="I954" s="2"/>
    </row>
    <row r="955">
      <c r="I955" s="2"/>
    </row>
    <row r="956">
      <c r="I956" s="2"/>
    </row>
    <row r="957">
      <c r="I957" s="2"/>
    </row>
    <row r="958">
      <c r="I958" s="2"/>
    </row>
    <row r="959">
      <c r="I959" s="2"/>
    </row>
    <row r="960">
      <c r="I960" s="2"/>
    </row>
    <row r="961">
      <c r="I961" s="2"/>
    </row>
    <row r="962">
      <c r="I962" s="2"/>
    </row>
    <row r="963">
      <c r="I963" s="2"/>
    </row>
    <row r="964">
      <c r="I964" s="2"/>
    </row>
    <row r="965">
      <c r="I965" s="2"/>
    </row>
    <row r="966">
      <c r="I966" s="2"/>
    </row>
    <row r="967">
      <c r="I967" s="2"/>
    </row>
    <row r="968">
      <c r="I968" s="2"/>
    </row>
    <row r="969">
      <c r="I969" s="2"/>
    </row>
    <row r="970">
      <c r="I970" s="2"/>
    </row>
    <row r="971">
      <c r="I971" s="2"/>
    </row>
    <row r="972">
      <c r="I972" s="2"/>
    </row>
    <row r="973">
      <c r="I973" s="2"/>
    </row>
    <row r="974">
      <c r="I974" s="2"/>
    </row>
    <row r="975">
      <c r="I975" s="2"/>
    </row>
    <row r="976">
      <c r="I976" s="2"/>
    </row>
    <row r="977">
      <c r="I977" s="2"/>
    </row>
    <row r="978">
      <c r="I978" s="2"/>
    </row>
    <row r="979">
      <c r="I979" s="2"/>
    </row>
    <row r="980">
      <c r="I980" s="2"/>
    </row>
    <row r="981">
      <c r="I981" s="2"/>
    </row>
    <row r="982">
      <c r="I982" s="2"/>
    </row>
    <row r="983">
      <c r="I983" s="2"/>
    </row>
    <row r="984">
      <c r="I984" s="2"/>
    </row>
    <row r="985">
      <c r="I985" s="2"/>
    </row>
    <row r="986">
      <c r="I986" s="2"/>
    </row>
    <row r="987">
      <c r="I987" s="2"/>
    </row>
    <row r="988">
      <c r="I988" s="2"/>
    </row>
    <row r="989">
      <c r="I989" s="2"/>
    </row>
    <row r="990">
      <c r="I990" s="2"/>
    </row>
    <row r="991">
      <c r="I991" s="2"/>
    </row>
    <row r="992">
      <c r="I992" s="2"/>
    </row>
    <row r="993">
      <c r="I993" s="2"/>
    </row>
    <row r="994">
      <c r="I994" s="2"/>
    </row>
    <row r="995">
      <c r="I995" s="2"/>
    </row>
    <row r="996">
      <c r="I996" s="2"/>
    </row>
    <row r="997">
      <c r="I997" s="2"/>
    </row>
    <row r="998">
      <c r="I998" s="2"/>
    </row>
    <row r="999">
      <c r="I999" s="2"/>
    </row>
    <row r="1000">
      <c r="I1000" s="2"/>
    </row>
    <row r="1001">
      <c r="I1001" s="2"/>
    </row>
    <row r="1002">
      <c r="I1002" s="2"/>
    </row>
    <row r="1003">
      <c r="I1003" s="2"/>
    </row>
    <row r="1004">
      <c r="I1004" s="2"/>
    </row>
    <row r="1005">
      <c r="I1005" s="2"/>
    </row>
    <row r="1006">
      <c r="I1006" s="2"/>
    </row>
    <row r="1007">
      <c r="I1007" s="2"/>
    </row>
    <row r="1008">
      <c r="I1008" s="2"/>
    </row>
    <row r="1009">
      <c r="I1009" s="2"/>
    </row>
    <row r="1010">
      <c r="I1010" s="2"/>
    </row>
    <row r="1011">
      <c r="I1011" s="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>
      <c r="A2" s="140" t="s">
        <v>230</v>
      </c>
      <c r="N2" s="14"/>
      <c r="O2" s="140"/>
      <c r="P2" s="140" t="s">
        <v>231</v>
      </c>
      <c r="AC2" s="14"/>
    </row>
    <row r="3">
      <c r="A3" s="141" t="s">
        <v>232</v>
      </c>
      <c r="B3" s="142">
        <v>0.7463</v>
      </c>
      <c r="C3" s="141" t="s">
        <v>233</v>
      </c>
      <c r="D3" s="142">
        <v>0.6795</v>
      </c>
      <c r="E3" s="141" t="s">
        <v>234</v>
      </c>
      <c r="F3" s="143">
        <v>6.084</v>
      </c>
      <c r="G3" s="141" t="s">
        <v>235</v>
      </c>
      <c r="H3" s="143">
        <v>8.649</v>
      </c>
      <c r="I3" s="144"/>
      <c r="J3" s="144"/>
      <c r="K3" s="144"/>
      <c r="L3" s="144"/>
      <c r="M3" s="144"/>
      <c r="N3" s="14"/>
      <c r="O3" s="141"/>
      <c r="P3" s="141" t="s">
        <v>232</v>
      </c>
      <c r="Q3" s="142">
        <v>0.7463</v>
      </c>
      <c r="R3" s="141" t="s">
        <v>233</v>
      </c>
      <c r="S3" s="142">
        <v>0.7311</v>
      </c>
      <c r="T3" s="141" t="s">
        <v>234</v>
      </c>
      <c r="U3" s="143">
        <v>6.084</v>
      </c>
      <c r="V3" s="141" t="s">
        <v>235</v>
      </c>
      <c r="W3" s="143">
        <v>7.232</v>
      </c>
      <c r="X3" s="144"/>
      <c r="Y3" s="144"/>
      <c r="Z3" s="144"/>
      <c r="AA3" s="144"/>
      <c r="AB3" s="144"/>
      <c r="AC3" s="14"/>
    </row>
    <row r="4">
      <c r="A4" s="145" t="s">
        <v>236</v>
      </c>
      <c r="B4" s="145" t="s">
        <v>237</v>
      </c>
      <c r="C4" s="145" t="s">
        <v>238</v>
      </c>
      <c r="D4" s="145" t="s">
        <v>239</v>
      </c>
      <c r="E4" s="145" t="s">
        <v>240</v>
      </c>
      <c r="F4" s="145" t="s">
        <v>241</v>
      </c>
      <c r="G4" s="145" t="s">
        <v>242</v>
      </c>
      <c r="H4" s="145" t="s">
        <v>243</v>
      </c>
      <c r="I4" s="146"/>
      <c r="J4" s="145" t="s">
        <v>4</v>
      </c>
      <c r="K4" s="145" t="s">
        <v>5</v>
      </c>
      <c r="L4" s="145" t="s">
        <v>6</v>
      </c>
      <c r="M4" s="145" t="s">
        <v>10</v>
      </c>
      <c r="N4" s="145" t="s">
        <v>11</v>
      </c>
      <c r="O4" s="145"/>
      <c r="P4" s="145" t="s">
        <v>236</v>
      </c>
      <c r="Q4" s="145" t="s">
        <v>237</v>
      </c>
      <c r="R4" s="145" t="s">
        <v>238</v>
      </c>
      <c r="S4" s="145" t="s">
        <v>239</v>
      </c>
      <c r="T4" s="145" t="s">
        <v>240</v>
      </c>
      <c r="U4" s="145" t="s">
        <v>241</v>
      </c>
      <c r="V4" s="145" t="s">
        <v>242</v>
      </c>
      <c r="W4" s="145" t="s">
        <v>243</v>
      </c>
      <c r="X4" s="146"/>
      <c r="Y4" s="145" t="s">
        <v>4</v>
      </c>
      <c r="Z4" s="145" t="s">
        <v>5</v>
      </c>
      <c r="AA4" s="145" t="s">
        <v>6</v>
      </c>
      <c r="AB4" s="145" t="s">
        <v>10</v>
      </c>
      <c r="AC4" s="145" t="s">
        <v>11</v>
      </c>
    </row>
    <row r="5">
      <c r="A5" s="145" t="s">
        <v>244</v>
      </c>
      <c r="B5" s="147">
        <v>68.14</v>
      </c>
      <c r="C5" s="148">
        <v>67.92</v>
      </c>
      <c r="D5" s="149">
        <v>68.11</v>
      </c>
      <c r="E5" s="150">
        <v>66.79</v>
      </c>
      <c r="F5" s="151">
        <v>68.99</v>
      </c>
      <c r="G5" s="152">
        <v>67.99</v>
      </c>
      <c r="H5" s="153">
        <v>8.177</v>
      </c>
      <c r="I5" s="146"/>
      <c r="J5" s="154">
        <v>44.11</v>
      </c>
      <c r="K5" s="155">
        <v>72.85</v>
      </c>
      <c r="L5" s="156">
        <v>81.16</v>
      </c>
      <c r="M5" s="157">
        <v>77.86</v>
      </c>
      <c r="N5" s="158">
        <v>68.95</v>
      </c>
      <c r="O5" s="145">
        <f t="shared" ref="O5:O10" si="1">AVERAGE(J5:N5)</f>
        <v>68.986</v>
      </c>
      <c r="P5" s="145" t="s">
        <v>244</v>
      </c>
      <c r="Q5" s="159">
        <v>73.47</v>
      </c>
      <c r="R5" s="160">
        <v>73.29</v>
      </c>
      <c r="S5" s="161">
        <v>73.36</v>
      </c>
      <c r="T5" s="162">
        <v>73.31</v>
      </c>
      <c r="U5" s="163">
        <v>73.51</v>
      </c>
      <c r="V5" s="164">
        <v>73.39</v>
      </c>
      <c r="W5" s="165">
        <v>7.227</v>
      </c>
      <c r="X5" s="146"/>
      <c r="Y5" s="154">
        <v>50.17</v>
      </c>
      <c r="Z5" s="166">
        <v>80.01</v>
      </c>
      <c r="AA5" s="167">
        <v>82.35</v>
      </c>
      <c r="AB5" s="168">
        <v>77.75</v>
      </c>
      <c r="AC5" s="169">
        <v>77.26</v>
      </c>
    </row>
    <row r="6">
      <c r="A6" s="145" t="s">
        <v>245</v>
      </c>
      <c r="B6" s="170">
        <v>68.47</v>
      </c>
      <c r="C6" s="171">
        <v>68.53</v>
      </c>
      <c r="D6" s="172">
        <v>67.7</v>
      </c>
      <c r="E6" s="173">
        <v>67.53</v>
      </c>
      <c r="F6" s="174">
        <v>67.97</v>
      </c>
      <c r="G6" s="175">
        <v>68.04</v>
      </c>
      <c r="H6" s="176">
        <v>8.184</v>
      </c>
      <c r="I6" s="146"/>
      <c r="J6" s="154">
        <v>43.09</v>
      </c>
      <c r="K6" s="177">
        <v>71.68</v>
      </c>
      <c r="L6" s="178">
        <v>81.99</v>
      </c>
      <c r="M6" s="179">
        <v>76.93</v>
      </c>
      <c r="N6" s="158">
        <v>68.95</v>
      </c>
      <c r="O6" s="145">
        <f t="shared" si="1"/>
        <v>68.528</v>
      </c>
      <c r="P6" s="145" t="s">
        <v>245</v>
      </c>
      <c r="Q6" s="180">
        <v>73.37</v>
      </c>
      <c r="R6" s="181">
        <v>73.69</v>
      </c>
      <c r="S6" s="182">
        <v>73.6</v>
      </c>
      <c r="T6" s="183">
        <v>73.14</v>
      </c>
      <c r="U6" s="184">
        <v>73.21</v>
      </c>
      <c r="V6" s="185">
        <v>73.4</v>
      </c>
      <c r="W6" s="186">
        <v>7.225</v>
      </c>
      <c r="X6" s="146"/>
      <c r="Y6" s="154">
        <v>49.83</v>
      </c>
      <c r="Z6" s="187">
        <v>80.6</v>
      </c>
      <c r="AA6" s="167">
        <v>82.35</v>
      </c>
      <c r="AB6" s="188">
        <v>77.69</v>
      </c>
      <c r="AC6" s="189">
        <v>77.98</v>
      </c>
    </row>
    <row r="7">
      <c r="A7" s="145" t="s">
        <v>246</v>
      </c>
      <c r="B7" s="151">
        <v>68.99</v>
      </c>
      <c r="C7" s="190">
        <v>68.2</v>
      </c>
      <c r="D7" s="191">
        <v>69.61</v>
      </c>
      <c r="E7" s="192">
        <v>67.46</v>
      </c>
      <c r="F7" s="193">
        <v>68.52</v>
      </c>
      <c r="G7" s="194">
        <v>68.55</v>
      </c>
      <c r="H7" s="195">
        <v>8.178</v>
      </c>
      <c r="I7" s="146"/>
      <c r="J7" s="154">
        <v>44.54</v>
      </c>
      <c r="K7" s="196">
        <v>72.64</v>
      </c>
      <c r="L7" s="156">
        <v>81.13</v>
      </c>
      <c r="M7" s="197">
        <v>77.15</v>
      </c>
      <c r="N7" s="198">
        <v>72.56</v>
      </c>
      <c r="O7" s="145">
        <f t="shared" si="1"/>
        <v>69.604</v>
      </c>
      <c r="P7" s="145" t="s">
        <v>246</v>
      </c>
      <c r="Q7" s="199">
        <v>73.54</v>
      </c>
      <c r="R7" s="200">
        <v>73.43</v>
      </c>
      <c r="S7" s="201">
        <v>73.8</v>
      </c>
      <c r="T7" s="191">
        <v>73.87</v>
      </c>
      <c r="U7" s="202">
        <v>72.84</v>
      </c>
      <c r="V7" s="203">
        <v>73.5</v>
      </c>
      <c r="W7" s="204">
        <v>7.226</v>
      </c>
      <c r="X7" s="146"/>
      <c r="Y7" s="154">
        <v>49.83</v>
      </c>
      <c r="Z7" s="205">
        <v>80.51</v>
      </c>
      <c r="AA7" s="206">
        <v>82.84</v>
      </c>
      <c r="AB7" s="207">
        <v>78.18</v>
      </c>
      <c r="AC7" s="189">
        <v>77.98</v>
      </c>
    </row>
    <row r="8">
      <c r="A8" s="145" t="s">
        <v>247</v>
      </c>
      <c r="B8" s="208">
        <v>67.85</v>
      </c>
      <c r="C8" s="209">
        <v>67.74</v>
      </c>
      <c r="D8" s="210">
        <v>67.92</v>
      </c>
      <c r="E8" s="211">
        <v>66.71</v>
      </c>
      <c r="F8" s="212">
        <v>68.13</v>
      </c>
      <c r="G8" s="213">
        <v>67.67</v>
      </c>
      <c r="H8" s="214">
        <v>8.202</v>
      </c>
      <c r="I8" s="146"/>
      <c r="J8" s="154">
        <v>44.62</v>
      </c>
      <c r="K8" s="215">
        <v>73.48</v>
      </c>
      <c r="L8" s="216">
        <v>80.28</v>
      </c>
      <c r="M8" s="217">
        <v>77.64</v>
      </c>
      <c r="N8" s="218">
        <v>64.62</v>
      </c>
      <c r="O8" s="145">
        <f t="shared" si="1"/>
        <v>68.128</v>
      </c>
      <c r="P8" s="145" t="s">
        <v>247</v>
      </c>
      <c r="Q8" s="219">
        <v>73.51</v>
      </c>
      <c r="R8" s="220">
        <v>73.57</v>
      </c>
      <c r="S8" s="221">
        <v>73.61</v>
      </c>
      <c r="T8" s="222">
        <v>73.15</v>
      </c>
      <c r="U8" s="223">
        <v>72.65</v>
      </c>
      <c r="V8" s="224">
        <v>73.3</v>
      </c>
      <c r="W8" s="148">
        <v>7.229</v>
      </c>
      <c r="X8" s="146"/>
      <c r="Y8" s="154">
        <v>50.17</v>
      </c>
      <c r="Z8" s="205">
        <v>80.51</v>
      </c>
      <c r="AA8" s="225">
        <v>82.75</v>
      </c>
      <c r="AB8" s="226">
        <v>77.37</v>
      </c>
      <c r="AC8" s="169">
        <v>77.26</v>
      </c>
    </row>
    <row r="9">
      <c r="A9" s="145" t="s">
        <v>248</v>
      </c>
      <c r="B9" s="227">
        <v>68.86</v>
      </c>
      <c r="C9" s="228">
        <v>68.46</v>
      </c>
      <c r="D9" s="229">
        <v>68.42</v>
      </c>
      <c r="E9" s="223">
        <v>66.64</v>
      </c>
      <c r="F9" s="230">
        <v>68.2</v>
      </c>
      <c r="G9" s="231">
        <v>68.12</v>
      </c>
      <c r="H9" s="170">
        <v>8.204</v>
      </c>
      <c r="I9" s="146"/>
      <c r="J9" s="154">
        <v>43.86</v>
      </c>
      <c r="K9" s="232">
        <v>72.47</v>
      </c>
      <c r="L9" s="233">
        <v>81.22</v>
      </c>
      <c r="M9" s="234">
        <v>77.42</v>
      </c>
      <c r="N9" s="235">
        <v>69.31</v>
      </c>
      <c r="O9" s="145">
        <f t="shared" si="1"/>
        <v>68.856</v>
      </c>
      <c r="P9" s="145" t="s">
        <v>248</v>
      </c>
      <c r="Q9" s="236">
        <v>73.5</v>
      </c>
      <c r="R9" s="237" t="s">
        <v>200</v>
      </c>
      <c r="S9" s="237" t="s">
        <v>200</v>
      </c>
      <c r="T9" s="237" t="s">
        <v>200</v>
      </c>
      <c r="U9" s="237" t="s">
        <v>200</v>
      </c>
      <c r="V9" s="238">
        <v>73.5</v>
      </c>
      <c r="W9" s="239">
        <v>7.23</v>
      </c>
      <c r="X9" s="146"/>
      <c r="Y9" s="154">
        <v>50.26</v>
      </c>
      <c r="Z9" s="240">
        <v>80.56</v>
      </c>
      <c r="AA9" s="241">
        <v>82.45</v>
      </c>
      <c r="AB9" s="226">
        <v>77.37</v>
      </c>
      <c r="AC9" s="179">
        <v>76.9</v>
      </c>
    </row>
    <row r="10">
      <c r="A10" s="145" t="s">
        <v>249</v>
      </c>
      <c r="B10" s="242">
        <v>67.99</v>
      </c>
      <c r="C10" s="243">
        <v>67.41</v>
      </c>
      <c r="D10" s="244">
        <v>69.32</v>
      </c>
      <c r="E10" s="245">
        <v>66.99</v>
      </c>
      <c r="F10" s="246">
        <v>68.48</v>
      </c>
      <c r="G10" s="175">
        <v>68.04</v>
      </c>
      <c r="H10" s="247">
        <v>8.211</v>
      </c>
      <c r="I10" s="146"/>
      <c r="J10" s="154">
        <v>44.2</v>
      </c>
      <c r="K10" s="248">
        <v>72.18</v>
      </c>
      <c r="L10" s="249">
        <v>80.7</v>
      </c>
      <c r="M10" s="188">
        <v>77.69</v>
      </c>
      <c r="N10" s="250">
        <v>71.84</v>
      </c>
      <c r="O10" s="145">
        <f t="shared" si="1"/>
        <v>69.322</v>
      </c>
      <c r="P10" s="145" t="s">
        <v>249</v>
      </c>
      <c r="Q10" s="237" t="s">
        <v>200</v>
      </c>
      <c r="R10" s="237" t="s">
        <v>200</v>
      </c>
      <c r="S10" s="237" t="s">
        <v>200</v>
      </c>
      <c r="T10" s="237" t="s">
        <v>200</v>
      </c>
      <c r="U10" s="237" t="s">
        <v>200</v>
      </c>
      <c r="V10" s="251" t="s">
        <v>200</v>
      </c>
      <c r="W10" s="251" t="s">
        <v>200</v>
      </c>
      <c r="X10" s="146"/>
      <c r="Y10" s="237" t="s">
        <v>200</v>
      </c>
      <c r="Z10" s="237" t="s">
        <v>200</v>
      </c>
      <c r="AA10" s="237" t="s">
        <v>200</v>
      </c>
      <c r="AB10" s="237" t="s">
        <v>200</v>
      </c>
      <c r="AC10" s="237" t="s">
        <v>200</v>
      </c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>
      <c r="A13" s="140" t="s">
        <v>250</v>
      </c>
      <c r="N13" s="14"/>
      <c r="O13" s="140"/>
      <c r="P13" s="140" t="s">
        <v>251</v>
      </c>
      <c r="AC13" s="14"/>
    </row>
    <row r="14">
      <c r="A14" s="141" t="s">
        <v>232</v>
      </c>
      <c r="B14" s="142">
        <v>0.7292</v>
      </c>
      <c r="C14" s="141" t="s">
        <v>233</v>
      </c>
      <c r="D14" s="142">
        <v>0.6513</v>
      </c>
      <c r="E14" s="141" t="s">
        <v>234</v>
      </c>
      <c r="F14" s="143">
        <v>5.522</v>
      </c>
      <c r="G14" s="141" t="s">
        <v>235</v>
      </c>
      <c r="H14" s="143">
        <v>8.076</v>
      </c>
      <c r="I14" s="144"/>
      <c r="J14" s="144"/>
      <c r="K14" s="144"/>
      <c r="L14" s="144"/>
      <c r="M14" s="144"/>
      <c r="N14" s="14"/>
      <c r="O14" s="141"/>
      <c r="P14" s="141" t="s">
        <v>232</v>
      </c>
      <c r="Q14" s="142">
        <v>0.7222</v>
      </c>
      <c r="R14" s="141" t="s">
        <v>233</v>
      </c>
      <c r="S14" s="142">
        <v>0.642</v>
      </c>
      <c r="T14" s="141" t="s">
        <v>234</v>
      </c>
      <c r="U14" s="143">
        <v>5.442</v>
      </c>
      <c r="V14" s="141" t="s">
        <v>235</v>
      </c>
      <c r="W14" s="143">
        <v>8.151</v>
      </c>
      <c r="X14" s="144"/>
      <c r="Y14" s="144"/>
      <c r="Z14" s="144"/>
      <c r="AA14" s="144"/>
      <c r="AB14" s="144"/>
      <c r="AC14" s="14"/>
    </row>
    <row r="15">
      <c r="A15" s="145" t="s">
        <v>236</v>
      </c>
      <c r="B15" s="145" t="s">
        <v>237</v>
      </c>
      <c r="C15" s="145" t="s">
        <v>238</v>
      </c>
      <c r="D15" s="145" t="s">
        <v>239</v>
      </c>
      <c r="E15" s="145" t="s">
        <v>240</v>
      </c>
      <c r="F15" s="145" t="s">
        <v>241</v>
      </c>
      <c r="G15" s="145" t="s">
        <v>242</v>
      </c>
      <c r="H15" s="145" t="s">
        <v>243</v>
      </c>
      <c r="I15" s="146"/>
      <c r="J15" s="145" t="s">
        <v>4</v>
      </c>
      <c r="K15" s="145" t="s">
        <v>5</v>
      </c>
      <c r="L15" s="145" t="s">
        <v>6</v>
      </c>
      <c r="M15" s="145" t="s">
        <v>10</v>
      </c>
      <c r="N15" s="145" t="s">
        <v>11</v>
      </c>
      <c r="O15" s="145"/>
      <c r="P15" s="145" t="s">
        <v>236</v>
      </c>
      <c r="Q15" s="145" t="s">
        <v>237</v>
      </c>
      <c r="R15" s="145" t="s">
        <v>238</v>
      </c>
      <c r="S15" s="145" t="s">
        <v>239</v>
      </c>
      <c r="T15" s="145" t="s">
        <v>240</v>
      </c>
      <c r="U15" s="145" t="s">
        <v>241</v>
      </c>
      <c r="V15" s="145" t="s">
        <v>242</v>
      </c>
      <c r="W15" s="145" t="s">
        <v>243</v>
      </c>
      <c r="X15" s="146"/>
      <c r="Y15" s="145" t="s">
        <v>4</v>
      </c>
      <c r="Z15" s="145" t="s">
        <v>5</v>
      </c>
      <c r="AA15" s="145" t="s">
        <v>6</v>
      </c>
      <c r="AB15" s="145" t="s">
        <v>10</v>
      </c>
      <c r="AC15" s="145" t="s">
        <v>11</v>
      </c>
    </row>
    <row r="16">
      <c r="A16" s="145" t="s">
        <v>244</v>
      </c>
      <c r="B16" s="252">
        <v>64.23</v>
      </c>
      <c r="C16" s="253">
        <v>65.64</v>
      </c>
      <c r="D16" s="254">
        <v>64.23</v>
      </c>
      <c r="E16" s="255">
        <v>65.06</v>
      </c>
      <c r="F16" s="256">
        <v>64.69</v>
      </c>
      <c r="G16" s="257">
        <v>64.77</v>
      </c>
      <c r="H16" s="258">
        <v>7.873</v>
      </c>
      <c r="I16" s="146"/>
      <c r="J16" s="154">
        <v>40.36</v>
      </c>
      <c r="K16" s="259">
        <v>74.33</v>
      </c>
      <c r="L16" s="260">
        <v>73.43</v>
      </c>
      <c r="M16" s="261">
        <v>76.17</v>
      </c>
      <c r="N16" s="262">
        <v>63.9</v>
      </c>
      <c r="O16" s="145">
        <f t="shared" ref="O16:O21" si="2">AVERAGE(J16:N16)</f>
        <v>65.638</v>
      </c>
      <c r="P16" s="145" t="s">
        <v>244</v>
      </c>
      <c r="Q16" s="191">
        <v>64.67</v>
      </c>
      <c r="R16" s="190">
        <v>63.95</v>
      </c>
      <c r="S16" s="263">
        <v>64.5</v>
      </c>
      <c r="T16" s="264">
        <v>63.97</v>
      </c>
      <c r="U16" s="265">
        <v>63.65</v>
      </c>
      <c r="V16" s="266">
        <v>64.15</v>
      </c>
      <c r="W16" s="267">
        <v>7.974</v>
      </c>
      <c r="X16" s="146"/>
      <c r="Y16" s="154">
        <v>40.36</v>
      </c>
      <c r="Z16" s="268">
        <v>69.99</v>
      </c>
      <c r="AA16" s="269">
        <v>75.05</v>
      </c>
      <c r="AB16" s="270">
        <v>76.61</v>
      </c>
      <c r="AC16" s="271">
        <v>61.37</v>
      </c>
    </row>
    <row r="17">
      <c r="A17" s="145" t="s">
        <v>245</v>
      </c>
      <c r="B17" s="272">
        <v>65.73</v>
      </c>
      <c r="C17" s="273">
        <v>65.57</v>
      </c>
      <c r="D17" s="274">
        <v>63.91</v>
      </c>
      <c r="E17" s="275">
        <v>64.18</v>
      </c>
      <c r="F17" s="245">
        <v>63.92</v>
      </c>
      <c r="G17" s="276">
        <v>64.66</v>
      </c>
      <c r="H17" s="170">
        <v>7.871</v>
      </c>
      <c r="I17" s="146"/>
      <c r="J17" s="154">
        <v>41.04</v>
      </c>
      <c r="K17" s="277">
        <v>74.49</v>
      </c>
      <c r="L17" s="278">
        <v>71.01</v>
      </c>
      <c r="M17" s="279">
        <v>76.39</v>
      </c>
      <c r="N17" s="280">
        <v>65.7</v>
      </c>
      <c r="O17" s="145">
        <f t="shared" si="2"/>
        <v>65.726</v>
      </c>
      <c r="P17" s="145" t="s">
        <v>245</v>
      </c>
      <c r="Q17" s="281">
        <v>64.67</v>
      </c>
      <c r="R17" s="282">
        <v>64.39</v>
      </c>
      <c r="S17" s="283">
        <v>63.88</v>
      </c>
      <c r="T17" s="284">
        <v>64.0</v>
      </c>
      <c r="U17" s="229">
        <v>64.06</v>
      </c>
      <c r="V17" s="285">
        <v>64.2</v>
      </c>
      <c r="W17" s="286">
        <v>7.968</v>
      </c>
      <c r="X17" s="146"/>
      <c r="Y17" s="154">
        <v>40.87</v>
      </c>
      <c r="Z17" s="278">
        <v>71.0</v>
      </c>
      <c r="AA17" s="287">
        <v>73.3</v>
      </c>
      <c r="AB17" s="288">
        <v>76.44</v>
      </c>
      <c r="AC17" s="289">
        <v>61.73</v>
      </c>
    </row>
    <row r="18">
      <c r="A18" s="145" t="s">
        <v>246</v>
      </c>
      <c r="B18" s="290">
        <v>65.44</v>
      </c>
      <c r="C18" s="291">
        <v>64.38</v>
      </c>
      <c r="D18" s="292">
        <v>64.58</v>
      </c>
      <c r="E18" s="293">
        <v>63.98</v>
      </c>
      <c r="F18" s="294">
        <v>64.8</v>
      </c>
      <c r="G18" s="295">
        <v>64.63</v>
      </c>
      <c r="H18" s="296">
        <v>7.871</v>
      </c>
      <c r="I18" s="146"/>
      <c r="J18" s="154">
        <v>40.53</v>
      </c>
      <c r="K18" s="297">
        <v>74.96</v>
      </c>
      <c r="L18" s="298">
        <v>72.45</v>
      </c>
      <c r="M18" s="288">
        <v>76.44</v>
      </c>
      <c r="N18" s="299">
        <v>62.82</v>
      </c>
      <c r="O18" s="145">
        <f t="shared" si="2"/>
        <v>65.44</v>
      </c>
      <c r="P18" s="145" t="s">
        <v>246</v>
      </c>
      <c r="Q18" s="300">
        <v>64.27</v>
      </c>
      <c r="R18" s="301">
        <v>63.86</v>
      </c>
      <c r="S18" s="302">
        <v>63.5</v>
      </c>
      <c r="T18" s="303">
        <v>63.98</v>
      </c>
      <c r="U18" s="304">
        <v>63.51</v>
      </c>
      <c r="V18" s="276">
        <v>63.82</v>
      </c>
      <c r="W18" s="305">
        <v>7.968</v>
      </c>
      <c r="X18" s="146"/>
      <c r="Y18" s="154">
        <v>39.85</v>
      </c>
      <c r="Z18" s="306">
        <v>70.37</v>
      </c>
      <c r="AA18" s="215">
        <v>73.49</v>
      </c>
      <c r="AB18" s="307">
        <v>76.66</v>
      </c>
      <c r="AC18" s="308">
        <v>61.01</v>
      </c>
    </row>
    <row r="19">
      <c r="A19" s="145" t="s">
        <v>247</v>
      </c>
      <c r="B19" s="148">
        <v>64.62</v>
      </c>
      <c r="C19" s="290">
        <v>65.43</v>
      </c>
      <c r="D19" s="223">
        <v>63.66</v>
      </c>
      <c r="E19" s="309">
        <v>65.51</v>
      </c>
      <c r="F19" s="174">
        <v>64.66</v>
      </c>
      <c r="G19" s="231">
        <v>64.78</v>
      </c>
      <c r="H19" s="310">
        <v>7.879</v>
      </c>
      <c r="I19" s="146"/>
      <c r="J19" s="154">
        <v>41.13</v>
      </c>
      <c r="K19" s="311">
        <v>74.2</v>
      </c>
      <c r="L19" s="177">
        <v>71.68</v>
      </c>
      <c r="M19" s="312">
        <v>76.28</v>
      </c>
      <c r="N19" s="313">
        <v>64.26</v>
      </c>
      <c r="O19" s="145">
        <f t="shared" si="2"/>
        <v>65.51</v>
      </c>
      <c r="P19" s="145" t="s">
        <v>247</v>
      </c>
      <c r="Q19" s="314">
        <v>64.42</v>
      </c>
      <c r="R19" s="209">
        <v>63.71</v>
      </c>
      <c r="S19" s="315">
        <v>63.93</v>
      </c>
      <c r="T19" s="316">
        <v>63.44</v>
      </c>
      <c r="U19" s="317">
        <v>63.63</v>
      </c>
      <c r="V19" s="318">
        <v>63.83</v>
      </c>
      <c r="W19" s="319">
        <v>7.973</v>
      </c>
      <c r="X19" s="146"/>
      <c r="Y19" s="154">
        <v>39.68</v>
      </c>
      <c r="Z19" s="320">
        <v>70.58</v>
      </c>
      <c r="AA19" s="321">
        <v>74.16</v>
      </c>
      <c r="AB19" s="322">
        <v>75.95</v>
      </c>
      <c r="AC19" s="289">
        <v>61.73</v>
      </c>
    </row>
    <row r="20">
      <c r="A20" s="145" t="s">
        <v>248</v>
      </c>
      <c r="B20" s="323">
        <v>64.78</v>
      </c>
      <c r="C20" s="324">
        <v>64.24</v>
      </c>
      <c r="D20" s="325">
        <v>64.1</v>
      </c>
      <c r="E20" s="162">
        <v>64.87</v>
      </c>
      <c r="F20" s="326">
        <v>64.05</v>
      </c>
      <c r="G20" s="327">
        <v>64.41</v>
      </c>
      <c r="H20" s="230">
        <v>7.877</v>
      </c>
      <c r="I20" s="146"/>
      <c r="J20" s="154">
        <v>40.44</v>
      </c>
      <c r="K20" s="328">
        <v>74.24</v>
      </c>
      <c r="L20" s="329">
        <v>74.04</v>
      </c>
      <c r="M20" s="288">
        <v>76.44</v>
      </c>
      <c r="N20" s="330">
        <v>59.21</v>
      </c>
      <c r="O20" s="145">
        <f t="shared" si="2"/>
        <v>64.874</v>
      </c>
      <c r="P20" s="145" t="s">
        <v>248</v>
      </c>
      <c r="Q20" s="331">
        <v>64.36</v>
      </c>
      <c r="R20" s="332">
        <v>64.01</v>
      </c>
      <c r="S20" s="333">
        <v>63.81</v>
      </c>
      <c r="T20" s="223">
        <v>63.13</v>
      </c>
      <c r="U20" s="334">
        <v>63.29</v>
      </c>
      <c r="V20" s="335">
        <v>63.72</v>
      </c>
      <c r="W20" s="336">
        <v>7.967</v>
      </c>
      <c r="X20" s="146"/>
      <c r="Y20" s="154">
        <v>40.36</v>
      </c>
      <c r="Z20" s="337">
        <v>70.41</v>
      </c>
      <c r="AA20" s="215">
        <v>73.49</v>
      </c>
      <c r="AB20" s="338">
        <v>75.79</v>
      </c>
      <c r="AC20" s="289">
        <v>61.73</v>
      </c>
    </row>
    <row r="21">
      <c r="A21" s="145" t="s">
        <v>249</v>
      </c>
      <c r="B21" s="170">
        <v>65.04</v>
      </c>
      <c r="C21" s="339">
        <v>64.12</v>
      </c>
      <c r="D21" s="191">
        <v>65.89</v>
      </c>
      <c r="E21" s="340">
        <v>64.44</v>
      </c>
      <c r="F21" s="341">
        <v>65.11</v>
      </c>
      <c r="G21" s="342">
        <v>64.92</v>
      </c>
      <c r="H21" s="228">
        <v>7.871</v>
      </c>
      <c r="I21" s="146"/>
      <c r="J21" s="154">
        <v>40.78</v>
      </c>
      <c r="K21" s="343">
        <v>74.45</v>
      </c>
      <c r="L21" s="344">
        <v>73.03</v>
      </c>
      <c r="M21" s="345">
        <v>76.22</v>
      </c>
      <c r="N21" s="346">
        <v>64.98</v>
      </c>
      <c r="O21" s="145">
        <f t="shared" si="2"/>
        <v>65.892</v>
      </c>
      <c r="P21" s="145" t="s">
        <v>249</v>
      </c>
      <c r="Q21" s="347">
        <v>64.22</v>
      </c>
      <c r="R21" s="348">
        <v>63.67</v>
      </c>
      <c r="S21" s="349">
        <v>63.63</v>
      </c>
      <c r="T21" s="265">
        <v>63.65</v>
      </c>
      <c r="U21" s="350">
        <v>64.08</v>
      </c>
      <c r="V21" s="351">
        <v>63.85</v>
      </c>
      <c r="W21" s="352">
        <v>7.97</v>
      </c>
      <c r="X21" s="146"/>
      <c r="Y21" s="154">
        <v>40.02</v>
      </c>
      <c r="Z21" s="353">
        <v>70.12</v>
      </c>
      <c r="AA21" s="354">
        <v>73.36</v>
      </c>
      <c r="AB21" s="345">
        <v>76.22</v>
      </c>
      <c r="AC21" s="271">
        <v>61.37</v>
      </c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>
      <c r="A23" s="355" t="s">
        <v>252</v>
      </c>
      <c r="AB23" s="14"/>
      <c r="AC23" s="14"/>
    </row>
  </sheetData>
  <mergeCells count="5">
    <mergeCell ref="A2:M2"/>
    <mergeCell ref="P2:AB2"/>
    <mergeCell ref="A13:M13"/>
    <mergeCell ref="P13:AB13"/>
    <mergeCell ref="A23:AA23"/>
  </mergeCells>
  <drawing r:id="rId1"/>
</worksheet>
</file>