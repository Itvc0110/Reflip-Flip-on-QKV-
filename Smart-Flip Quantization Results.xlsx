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uong\OneDrive - Hanoi University of Science and Technology\Documents\GitHub\My\Reflip-Flip-on-QKV-\"/>
    </mc:Choice>
  </mc:AlternateContent>
  <xr:revisionPtr revIDLastSave="0" documentId="13_ncr:1_{E388183E-F87D-4A62-9CD0-2F545935D1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4 bit" sheetId="1" r:id="rId1"/>
    <sheet name="3bit" sheetId="2" r:id="rId2"/>
    <sheet name="Sheet13" sheetId="3" state="hidden" r:id="rId3"/>
    <sheet name="abs" sheetId="4" r:id="rId4"/>
    <sheet name="sensitive" sheetId="5" r:id="rId5"/>
    <sheet name="gptq_bc_4b" sheetId="6" r:id="rId6"/>
    <sheet name="RTN" sheetId="7" r:id="rId7"/>
    <sheet name="RTN 3bit" sheetId="8" r:id="rId8"/>
    <sheet name="tune_rtn" sheetId="9" r:id="rId9"/>
    <sheet name="tune_llama3" sheetId="10" r:id="rId10"/>
    <sheet name="GPTQ" sheetId="11" state="hidden" r:id="rId11"/>
    <sheet name="Copy of RTN" sheetId="12" r:id="rId12"/>
    <sheet name="AdaRound" sheetId="13" r:id="rId13"/>
    <sheet name="ada_3bit" sheetId="14" r:id="rId14"/>
    <sheet name="Tune" sheetId="15" r:id="rId15"/>
    <sheet name="RTN vs RTN+Flip 4 bit (per chan" sheetId="16" r:id="rId16"/>
    <sheet name="Sheet11" sheetId="17" r:id="rId17"/>
    <sheet name="RTN vs RTN+Flip 3 bit (per chan" sheetId="18" r:id="rId18"/>
    <sheet name="Copy of Tune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9" i="1" l="1"/>
  <c r="O78" i="1"/>
  <c r="O77" i="1"/>
  <c r="O21" i="19"/>
  <c r="O20" i="19"/>
  <c r="O19" i="19"/>
  <c r="O18" i="19"/>
  <c r="O17" i="19"/>
  <c r="O16" i="19"/>
  <c r="O10" i="19"/>
  <c r="O9" i="19"/>
  <c r="O8" i="19"/>
  <c r="O7" i="19"/>
  <c r="O6" i="19"/>
  <c r="O5" i="19"/>
  <c r="L42" i="18"/>
  <c r="L26" i="18"/>
  <c r="L14" i="18"/>
  <c r="L3" i="18"/>
  <c r="K53" i="17"/>
  <c r="K52" i="17"/>
  <c r="K51" i="17"/>
  <c r="K50" i="17"/>
  <c r="O49" i="17"/>
  <c r="K49" i="17"/>
  <c r="E49" i="17"/>
  <c r="L33" i="17"/>
  <c r="E33" i="17"/>
  <c r="L32" i="17"/>
  <c r="E32" i="17"/>
  <c r="L31" i="17"/>
  <c r="E31" i="17"/>
  <c r="L30" i="17"/>
  <c r="L24" i="17" s="1"/>
  <c r="E30" i="17"/>
  <c r="L29" i="17"/>
  <c r="E29" i="17"/>
  <c r="L25" i="17"/>
  <c r="K25" i="17"/>
  <c r="J25" i="17"/>
  <c r="I25" i="17"/>
  <c r="H25" i="17"/>
  <c r="G25" i="17"/>
  <c r="D25" i="17"/>
  <c r="C25" i="17"/>
  <c r="K24" i="17"/>
  <c r="J24" i="17"/>
  <c r="I24" i="17"/>
  <c r="H24" i="17"/>
  <c r="G24" i="17"/>
  <c r="D24" i="17"/>
  <c r="C24" i="17"/>
  <c r="L22" i="17"/>
  <c r="K21" i="17"/>
  <c r="J21" i="17"/>
  <c r="I21" i="17"/>
  <c r="H21" i="17"/>
  <c r="L21" i="17" s="1"/>
  <c r="G21" i="17"/>
  <c r="D21" i="17"/>
  <c r="C21" i="17"/>
  <c r="K20" i="17"/>
  <c r="J20" i="17"/>
  <c r="L20" i="17" s="1"/>
  <c r="I20" i="17"/>
  <c r="H20" i="17"/>
  <c r="G20" i="17"/>
  <c r="D20" i="17"/>
  <c r="C20" i="17"/>
  <c r="L15" i="17"/>
  <c r="L13" i="17"/>
  <c r="L11" i="17"/>
  <c r="L9" i="17"/>
  <c r="L8" i="17"/>
  <c r="E8" i="17"/>
  <c r="L7" i="17"/>
  <c r="E7" i="17"/>
  <c r="L6" i="17"/>
  <c r="E6" i="17"/>
  <c r="L5" i="17"/>
  <c r="E5" i="17"/>
  <c r="L4" i="17"/>
  <c r="E4" i="17"/>
  <c r="L42" i="16"/>
  <c r="L26" i="16"/>
  <c r="L14" i="16"/>
  <c r="L3" i="16"/>
  <c r="O24" i="13"/>
  <c r="O23" i="13"/>
  <c r="O22" i="13"/>
  <c r="O21" i="13"/>
  <c r="O18" i="13"/>
  <c r="O17" i="13"/>
  <c r="O16" i="13"/>
  <c r="O15" i="13"/>
  <c r="O12" i="13"/>
  <c r="O11" i="13"/>
  <c r="O10" i="13"/>
  <c r="O9" i="13"/>
  <c r="O6" i="13"/>
  <c r="O5" i="13"/>
  <c r="O4" i="13"/>
  <c r="O3" i="13"/>
  <c r="O25" i="12"/>
  <c r="E25" i="12"/>
  <c r="O24" i="12"/>
  <c r="E24" i="12"/>
  <c r="O23" i="12"/>
  <c r="E23" i="12"/>
  <c r="E22" i="12"/>
  <c r="O21" i="12"/>
  <c r="E21" i="12"/>
  <c r="O19" i="12"/>
  <c r="E19" i="12"/>
  <c r="O18" i="12"/>
  <c r="E18" i="12"/>
  <c r="E17" i="12"/>
  <c r="E16" i="12"/>
  <c r="O15" i="12"/>
  <c r="E15" i="12"/>
  <c r="E12" i="12"/>
  <c r="O11" i="12"/>
  <c r="E11" i="12"/>
  <c r="O10" i="12"/>
  <c r="E10" i="12"/>
  <c r="O9" i="12"/>
  <c r="E9" i="12"/>
  <c r="O6" i="12"/>
  <c r="E6" i="12"/>
  <c r="O5" i="12"/>
  <c r="E5" i="12"/>
  <c r="O4" i="12"/>
  <c r="E4" i="12"/>
  <c r="O3" i="12"/>
  <c r="E3" i="12"/>
  <c r="D19" i="11"/>
  <c r="C19" i="11"/>
  <c r="D18" i="11"/>
  <c r="C18" i="11"/>
  <c r="D17" i="11"/>
  <c r="C17" i="11"/>
  <c r="D16" i="11"/>
  <c r="C16" i="11"/>
  <c r="O24" i="8"/>
  <c r="E24" i="8"/>
  <c r="O23" i="8"/>
  <c r="E23" i="8"/>
  <c r="O22" i="8"/>
  <c r="E22" i="8"/>
  <c r="O21" i="8"/>
  <c r="E21" i="8"/>
  <c r="O19" i="8"/>
  <c r="O17" i="8"/>
  <c r="E17" i="8"/>
  <c r="O16" i="8"/>
  <c r="E16" i="8"/>
  <c r="O15" i="8"/>
  <c r="E15" i="8"/>
  <c r="O13" i="8"/>
  <c r="E13" i="8"/>
  <c r="O12" i="8"/>
  <c r="E12" i="8"/>
  <c r="O11" i="8"/>
  <c r="E11" i="8"/>
  <c r="O10" i="8"/>
  <c r="E10" i="8"/>
  <c r="O9" i="8"/>
  <c r="E9" i="8"/>
  <c r="O6" i="8"/>
  <c r="E6" i="8"/>
  <c r="O5" i="8"/>
  <c r="E5" i="8"/>
  <c r="O4" i="8"/>
  <c r="E4" i="8"/>
  <c r="O3" i="8"/>
  <c r="E3" i="8"/>
  <c r="O26" i="7"/>
  <c r="E26" i="7"/>
  <c r="O25" i="7"/>
  <c r="E25" i="7"/>
  <c r="O24" i="7"/>
  <c r="E24" i="7"/>
  <c r="E23" i="7"/>
  <c r="O22" i="7"/>
  <c r="E22" i="7"/>
  <c r="O19" i="7"/>
  <c r="E19" i="7"/>
  <c r="O18" i="7"/>
  <c r="E18" i="7"/>
  <c r="E17" i="7"/>
  <c r="E16" i="7"/>
  <c r="O15" i="7"/>
  <c r="E15" i="7"/>
  <c r="O13" i="7"/>
  <c r="E13" i="7"/>
  <c r="O12" i="7"/>
  <c r="E12" i="7"/>
  <c r="O11" i="7"/>
  <c r="E11" i="7"/>
  <c r="O10" i="7"/>
  <c r="E10" i="7"/>
  <c r="O9" i="7"/>
  <c r="E9" i="7"/>
  <c r="O7" i="7"/>
  <c r="E7" i="7"/>
  <c r="O6" i="7"/>
  <c r="E6" i="7"/>
  <c r="O5" i="7"/>
  <c r="E5" i="7"/>
  <c r="O4" i="7"/>
  <c r="E4" i="7"/>
  <c r="O3" i="7"/>
  <c r="E3" i="7"/>
  <c r="K5" i="6"/>
  <c r="K2" i="6"/>
  <c r="K30" i="4"/>
  <c r="E30" i="4"/>
  <c r="K29" i="4"/>
  <c r="E29" i="4"/>
  <c r="K27" i="4"/>
  <c r="K26" i="4"/>
  <c r="K22" i="4"/>
  <c r="K19" i="4"/>
  <c r="O10" i="4"/>
  <c r="O9" i="4"/>
  <c r="O4" i="4"/>
  <c r="O3" i="4"/>
  <c r="O148" i="2"/>
  <c r="O147" i="2"/>
  <c r="O146" i="2"/>
  <c r="O141" i="2"/>
  <c r="O140" i="2"/>
  <c r="O139" i="2"/>
  <c r="O131" i="2"/>
  <c r="O130" i="2"/>
  <c r="O128" i="2"/>
  <c r="O127" i="2"/>
  <c r="O126" i="2"/>
  <c r="O125" i="2"/>
  <c r="O124" i="2"/>
  <c r="O123" i="2"/>
  <c r="O121" i="2"/>
  <c r="O120" i="2"/>
  <c r="O119" i="2"/>
  <c r="O118" i="2"/>
  <c r="O117" i="2"/>
  <c r="O116" i="2"/>
  <c r="O115" i="2"/>
  <c r="O114" i="2"/>
  <c r="O113" i="2"/>
  <c r="O109" i="2"/>
  <c r="O104" i="2"/>
  <c r="O103" i="2"/>
  <c r="O101" i="2"/>
  <c r="O100" i="2"/>
  <c r="O99" i="2"/>
  <c r="O97" i="2"/>
  <c r="O96" i="2"/>
  <c r="E96" i="2"/>
  <c r="O95" i="2"/>
  <c r="E95" i="2"/>
  <c r="O85" i="2"/>
  <c r="O84" i="2"/>
  <c r="O83" i="2"/>
  <c r="O80" i="2"/>
  <c r="O79" i="2"/>
  <c r="O78" i="2"/>
  <c r="O76" i="2"/>
  <c r="O75" i="2"/>
  <c r="O74" i="2"/>
  <c r="O72" i="2"/>
  <c r="O71" i="2"/>
  <c r="O70" i="2"/>
  <c r="O68" i="2"/>
  <c r="E68" i="2"/>
  <c r="O67" i="2"/>
  <c r="E67" i="2"/>
  <c r="O66" i="2"/>
  <c r="E66" i="2"/>
  <c r="O64" i="2"/>
  <c r="E64" i="2"/>
  <c r="O63" i="2"/>
  <c r="E63" i="2"/>
  <c r="O62" i="2"/>
  <c r="E62" i="2"/>
  <c r="O61" i="2"/>
  <c r="O56" i="2"/>
  <c r="O55" i="2"/>
  <c r="O54" i="2"/>
  <c r="O51" i="2"/>
  <c r="O50" i="2"/>
  <c r="O49" i="2"/>
  <c r="O47" i="2"/>
  <c r="O46" i="2"/>
  <c r="O45" i="2"/>
  <c r="O43" i="2"/>
  <c r="O41" i="2"/>
  <c r="E41" i="2"/>
  <c r="O40" i="2"/>
  <c r="O31" i="2"/>
  <c r="O30" i="2"/>
  <c r="O29" i="2"/>
  <c r="O24" i="2"/>
  <c r="O23" i="2"/>
  <c r="O22" i="2"/>
  <c r="O19" i="2"/>
  <c r="O18" i="2"/>
  <c r="O17" i="2"/>
  <c r="G15" i="2"/>
  <c r="F15" i="2"/>
  <c r="M14" i="2"/>
  <c r="H14" i="2"/>
  <c r="F14" i="2"/>
  <c r="M13" i="2"/>
  <c r="M15" i="2" s="1"/>
  <c r="H13" i="2"/>
  <c r="H15" i="2" s="1"/>
  <c r="G13" i="2"/>
  <c r="G14" i="2" s="1"/>
  <c r="F13" i="2"/>
  <c r="M11" i="2"/>
  <c r="L11" i="2"/>
  <c r="L13" i="2" s="1"/>
  <c r="H11" i="2"/>
  <c r="G11" i="2"/>
  <c r="F11" i="2"/>
  <c r="M10" i="2"/>
  <c r="L10" i="2"/>
  <c r="H10" i="2"/>
  <c r="G10" i="2"/>
  <c r="F10" i="2"/>
  <c r="O10" i="2" s="1"/>
  <c r="D10" i="2"/>
  <c r="C10" i="2"/>
  <c r="M9" i="2"/>
  <c r="L9" i="2"/>
  <c r="H9" i="2"/>
  <c r="G9" i="2"/>
  <c r="O9" i="2" s="1"/>
  <c r="F9" i="2"/>
  <c r="D9" i="2"/>
  <c r="C9" i="2"/>
  <c r="O8" i="2"/>
  <c r="O7" i="2"/>
  <c r="O6" i="2"/>
  <c r="E6" i="2"/>
  <c r="O5" i="2"/>
  <c r="E5" i="2"/>
  <c r="O4" i="2"/>
  <c r="E4" i="2"/>
  <c r="O3" i="2"/>
  <c r="O108" i="1"/>
  <c r="E108" i="1"/>
  <c r="O107" i="1"/>
  <c r="E107" i="1"/>
  <c r="O103" i="1"/>
  <c r="O102" i="1"/>
  <c r="O101" i="1"/>
  <c r="O100" i="1"/>
  <c r="O94" i="1"/>
  <c r="O93" i="1"/>
  <c r="O92" i="1"/>
  <c r="O89" i="1"/>
  <c r="O88" i="1"/>
  <c r="O87" i="1"/>
  <c r="O84" i="1"/>
  <c r="O83" i="1"/>
  <c r="O82" i="1"/>
  <c r="O76" i="1"/>
  <c r="O67" i="1"/>
  <c r="O66" i="1"/>
  <c r="O65" i="1"/>
  <c r="O63" i="1"/>
  <c r="O62" i="1"/>
  <c r="O61" i="1"/>
  <c r="O59" i="1"/>
  <c r="O58" i="1"/>
  <c r="O57" i="1"/>
  <c r="M55" i="1"/>
  <c r="L55" i="1"/>
  <c r="H55" i="1"/>
  <c r="G55" i="1"/>
  <c r="F55" i="1"/>
  <c r="D55" i="1"/>
  <c r="C55" i="1"/>
  <c r="M54" i="1"/>
  <c r="L54" i="1"/>
  <c r="H54" i="1"/>
  <c r="G54" i="1"/>
  <c r="F54" i="1"/>
  <c r="O53" i="1"/>
  <c r="O50" i="1"/>
  <c r="O45" i="1"/>
  <c r="O44" i="1"/>
  <c r="O43" i="1"/>
  <c r="O41" i="1"/>
  <c r="O40" i="1"/>
  <c r="O39" i="1"/>
  <c r="O35" i="1"/>
  <c r="O34" i="1"/>
  <c r="O33" i="1"/>
  <c r="E27" i="1"/>
  <c r="O26" i="1"/>
  <c r="O22" i="1"/>
  <c r="O21" i="1"/>
  <c r="O20" i="1"/>
  <c r="O18" i="1"/>
  <c r="O17" i="1"/>
  <c r="O16" i="1"/>
  <c r="O12" i="1"/>
  <c r="O10" i="1"/>
  <c r="O9" i="1"/>
  <c r="O8" i="1"/>
  <c r="O5" i="1"/>
  <c r="E5" i="1"/>
  <c r="O4" i="1"/>
  <c r="E4" i="1"/>
  <c r="O3" i="1"/>
  <c r="O55" i="1" l="1"/>
  <c r="O54" i="1"/>
  <c r="L15" i="2"/>
  <c r="O15" i="2" s="1"/>
  <c r="L14" i="2"/>
  <c r="O14" i="2"/>
  <c r="O13" i="2"/>
</calcChain>
</file>

<file path=xl/sharedStrings.xml><?xml version="1.0" encoding="utf-8"?>
<sst xmlns="http://schemas.openxmlformats.org/spreadsheetml/2006/main" count="1123" uniqueCount="257">
  <si>
    <t>Model</t>
  </si>
  <si>
    <t>Quantize method</t>
  </si>
  <si>
    <t>Wiki</t>
  </si>
  <si>
    <t>C4</t>
  </si>
  <si>
    <t>arc-c</t>
  </si>
  <si>
    <t>arc-e</t>
  </si>
  <si>
    <t>boolq</t>
  </si>
  <si>
    <t>hellaswag</t>
  </si>
  <si>
    <t>lambada</t>
  </si>
  <si>
    <t>openbookqa</t>
  </si>
  <si>
    <t>piqa</t>
  </si>
  <si>
    <t>rte</t>
  </si>
  <si>
    <t>winogrande</t>
  </si>
  <si>
    <t>avg</t>
  </si>
  <si>
    <t>Origin (FP)</t>
  </si>
  <si>
    <t>Mistra-7B</t>
  </si>
  <si>
    <t xml:space="preserve">RTN  </t>
  </si>
  <si>
    <t>RTN+Flip (0.03, 0.05)</t>
  </si>
  <si>
    <t>+BC</t>
  </si>
  <si>
    <t>AWQ</t>
  </si>
  <si>
    <t>+EGBC (0.02 knee, 0.04 fl per</t>
  </si>
  <si>
    <t>No knee no f</t>
  </si>
  <si>
    <t>GPTQ</t>
  </si>
  <si>
    <t>+EGBC</t>
  </si>
  <si>
    <t>new</t>
  </si>
  <si>
    <t>FlatQuant</t>
  </si>
  <si>
    <t>+EGBC (0 knee, 0.05 fl per)</t>
  </si>
  <si>
    <t>Llama3.1-8B</t>
  </si>
  <si>
    <t>RTN+Flip (0.03, 0.03)</t>
  </si>
  <si>
    <t>+EGBC (0.02 knee, 0.01 fl per)</t>
  </si>
  <si>
    <t>Wikitext v2</t>
  </si>
  <si>
    <t>arc c</t>
  </si>
  <si>
    <t>arc e</t>
  </si>
  <si>
    <t>Qwen2.5-7B</t>
  </si>
  <si>
    <t>RTN+Flip (0.01, 0.05)</t>
  </si>
  <si>
    <t>RTN</t>
  </si>
  <si>
    <t>+EGBC (0.03 knee, 0.02 fl per)</t>
  </si>
  <si>
    <t>+EGBC (0.01 knee, 0.05 fl per)</t>
  </si>
  <si>
    <t>Llama3-8B</t>
  </si>
  <si>
    <t>RTN+Flip  (0, 0.05)</t>
  </si>
  <si>
    <t>Flatquant</t>
  </si>
  <si>
    <t>+EGBC (0.02 knee, 0.05 fl per)</t>
  </si>
  <si>
    <t>+CLC (Flip)</t>
  </si>
  <si>
    <t>+SNC</t>
  </si>
  <si>
    <t>0.714</t>
  </si>
  <si>
    <t>NoKnee</t>
  </si>
  <si>
    <t>0.719</t>
  </si>
  <si>
    <t>NoMaxFlip</t>
  </si>
  <si>
    <t>CLC</t>
  </si>
  <si>
    <t>0.720</t>
  </si>
  <si>
    <t>Mistral-7B</t>
  </si>
  <si>
    <t>RTN+Flip (0, 0.03)</t>
  </si>
  <si>
    <t>3 bit mistral</t>
  </si>
  <si>
    <t>RTN+Flip (0, 0.03) offset</t>
  </si>
  <si>
    <t>+EGBC (0.02 knee, 0.02 fl per</t>
  </si>
  <si>
    <t>RTN 3bits</t>
  </si>
  <si>
    <t>RTN+Flip (0.01, 0.02)</t>
  </si>
  <si>
    <t>RTN+Flip (0, 0.05)</t>
  </si>
  <si>
    <t>RTN+Flip  (0.01, 0.05)</t>
  </si>
  <si>
    <t>+EGBC (0.01 knee, 0.03 fl per)</t>
  </si>
  <si>
    <t xml:space="preserve">Meta-Llama-3.1 </t>
  </si>
  <si>
    <t>FP16</t>
  </si>
  <si>
    <t>Best</t>
  </si>
  <si>
    <t>FreeF</t>
  </si>
  <si>
    <t>Ref</t>
  </si>
  <si>
    <t>NoJS</t>
  </si>
  <si>
    <t>Ablation 3bit</t>
  </si>
  <si>
    <t>Llama 3.1</t>
  </si>
  <si>
    <t>rtn lm head</t>
  </si>
  <si>
    <t>best</t>
  </si>
  <si>
    <t>Mistral</t>
  </si>
  <si>
    <t>original</t>
  </si>
  <si>
    <t>p=0.01</t>
  </si>
  <si>
    <t>p=0.02</t>
  </si>
  <si>
    <t>p=0.03</t>
  </si>
  <si>
    <t>p=0.04</t>
  </si>
  <si>
    <t>p=0.05</t>
  </si>
  <si>
    <t>OKE</t>
  </si>
  <si>
    <t>Origin(FP)</t>
  </si>
  <si>
    <t>vast4</t>
  </si>
  <si>
    <t>ĐANG TUNE TIẾP</t>
  </si>
  <si>
    <t>vast</t>
  </si>
  <si>
    <t>A40</t>
  </si>
  <si>
    <t>ĐANG TUNE</t>
  </si>
  <si>
    <t>vast5</t>
  </si>
  <si>
    <t>cần rerun trên V100</t>
  </si>
  <si>
    <t>vast3</t>
  </si>
  <si>
    <t>vast2</t>
  </si>
  <si>
    <t>Llama3.1-8B · RTN vs RTN+Flip 4 bit (W4G128 tune)</t>
  </si>
  <si>
    <t>wins vs RTN</t>
  </si>
  <si>
    <t>Wiki gap %</t>
  </si>
  <si>
    <t>C4 gap %</t>
  </si>
  <si>
    <t>Avg PPL gap %</t>
  </si>
  <si>
    <t>source run</t>
  </si>
  <si>
    <t>Meta-Llama-3.1-8B</t>
  </si>
  <si>
    <t>Naive RTN (W4G128)</t>
  </si>
  <si>
    <t>Meta_Llama_3p1_8B_rtn_w4g128_lm_eval</t>
  </si>
  <si>
    <t>RTN+Flip (k0, f0.01, W4G128)</t>
  </si>
  <si>
    <t>Meta_Llama_3p1_8B_rtn_js_xl_w4g128_k0.0_f0.01_lm_eval</t>
  </si>
  <si>
    <t>RTN+Flip (k0, f0.02, W4G128)</t>
  </si>
  <si>
    <t>Meta_Llama_3p1_8B_rtn_js_xl_w4g128_k0.0_f0.02_lm_eval</t>
  </si>
  <si>
    <t>RTN+Flip (k0, f0.03, W4G128)</t>
  </si>
  <si>
    <t>Meta_Llama_3p1_8B_rtn_js_xl_w4g128_k0.0_f0.03_lm_eval</t>
  </si>
  <si>
    <t>RTN+Flip (k0, f0.04, W4G128)</t>
  </si>
  <si>
    <t>Meta_Llama_3p1_8B_rtn_js_xl_w4g128_k0.0_f0.04_lm_eval</t>
  </si>
  <si>
    <t>RTN+Flip (k0, f0.05, W4G128)</t>
  </si>
  <si>
    <t>Meta_Llama_3p1_8B_rtn_js_xl_w4g128_k0.0_f0.05_lm_eval</t>
  </si>
  <si>
    <t>RTN+Flip (k0.01, f0.01, W4G128)</t>
  </si>
  <si>
    <t>Meta_Llama_3p1_8B_rtn_js_xl_w4g128_k0.01_f0.01_lm_eval</t>
  </si>
  <si>
    <t>RTN+Flip (k0.01, f0.02, W4G128)</t>
  </si>
  <si>
    <t>Meta_Llama_3p1_8B_rtn_js_xl_w4g128_k0.01_f0.02_lm_eval</t>
  </si>
  <si>
    <t>RTN+Flip (k0.01, f0.03, W4G128)</t>
  </si>
  <si>
    <t>Meta_Llama_3p1_8B_rtn_js_xl_w4g128_k0.01_f0.03_lm_eval</t>
  </si>
  <si>
    <t>RTN+Flip (k0.01, f0.04, W4G128)</t>
  </si>
  <si>
    <t>Meta_Llama_3p1_8B_rtn_js_xl_w4g128_k0.01_f0.04_lm_eval</t>
  </si>
  <si>
    <t>RTN+Flip (k0.01, f0.05, W4G128)</t>
  </si>
  <si>
    <t>Meta_Llama_3p1_8B_rtn_js_xl_w4g128_k0.01_f0.05_lm_eval</t>
  </si>
  <si>
    <t>RTN+Flip (k0.02, f0.01, W4G128)</t>
  </si>
  <si>
    <t>Meta_Llama_3p1_8B_rtn_js_xl_w4g128_k0.02_f0.01_lm_eval</t>
  </si>
  <si>
    <t>RTN+Flip (k0.02, f0.02, W4G128)</t>
  </si>
  <si>
    <t>Meta_Llama_3p1_8B_rtn_js_xl_w4g128_k0.02_f0.02_lm_eval</t>
  </si>
  <si>
    <t>RTN+Flip (k0.02, f0.03, W4G128)</t>
  </si>
  <si>
    <t>Meta_Llama_3p1_8B_rtn_js_xl_w4g128_k0.02_f0.03_lm_eval</t>
  </si>
  <si>
    <t>RTN+Flip (k0.02, f0.04, W4G128)</t>
  </si>
  <si>
    <t>Meta_Llama_3p1_8B_rtn_js_xl_w4g128_k0.02_f0.04_lm_eval</t>
  </si>
  <si>
    <t>RTN+Flip (k0.02, f0.05, W4G128)</t>
  </si>
  <si>
    <t>Meta_Llama_3p1_8B_rtn_js_xl_w4g128_k0.02_f0.05_lm_eval</t>
  </si>
  <si>
    <t>RTN+Flip (k0.03, f0.01, W4G128)</t>
  </si>
  <si>
    <t>Meta_Llama_3p1_8B_rtn_js_xl_w4g128_k0.03_f0.01_lm_eval</t>
  </si>
  <si>
    <t>RTN+Flip (k0.03, f0.02, W4G128)</t>
  </si>
  <si>
    <t>Meta_Llama_3p1_8B_rtn_js_xl_w4g128_k0.03_f0.02_lm_eval</t>
  </si>
  <si>
    <t>RTN+Flip (k0.03, f0.03, W4G128)</t>
  </si>
  <si>
    <t>Meta_Llama_3p1_8B_rtn_js_xl_w4g128_k0.03_f0.03_lm_eval</t>
  </si>
  <si>
    <t>RTN+Flip (k0.03, f0.04, W4G128)</t>
  </si>
  <si>
    <t>Meta_Llama_3p1_8B_rtn_js_xl_w4g128_k0.03_f0.04_lm_eval</t>
  </si>
  <si>
    <t>RTN+Flip (k0.03, f0.05, W4G128)</t>
  </si>
  <si>
    <t>Meta_Llama_3p1_8B_rtn_js_xl_w4g128_k0.03_f0.05_lm_eval</t>
  </si>
  <si>
    <t>RTN+Flip (k0.04, f0.01, W4G128)</t>
  </si>
  <si>
    <t>Meta_Llama_3p1_8B_rtn_js_xl_w4g128_k0.04_f0.01_lm_eval</t>
  </si>
  <si>
    <t>RTN+Flip (k0.04, f0.02, W4G128)</t>
  </si>
  <si>
    <t>Meta_Llama_3p1_8B_rtn_js_xl_w4g128_k0.04_f0.02_lm_eval</t>
  </si>
  <si>
    <t>RTN+Flip (k0.04, f0.03, W4G128)</t>
  </si>
  <si>
    <t>Meta_Llama_3p1_8B_rtn_js_xl_w4g128_k0.04_f0.03_lm_eval</t>
  </si>
  <si>
    <t>RTN+Flip (k0.04, f0.04, W4G128)</t>
  </si>
  <si>
    <t>Meta_Llama_3p1_8B_rtn_js_xl_w4g128_k0.04_f0.04_lm_eval</t>
  </si>
  <si>
    <t>RTN+Flip (k0.04, f0.05, W4G128)</t>
  </si>
  <si>
    <t>Meta_Llama_3p1_8B_rtn_js_xl_w4g128_k0.04_f0.05_lm_eval</t>
  </si>
  <si>
    <t>RTN+Flip (k0.05, f0.01, W4G128)</t>
  </si>
  <si>
    <t>Meta_Llama_3p1_8B_rtn_js_xl_w4g128_k0.05_f0.01_lm_eval</t>
  </si>
  <si>
    <t>RTN+Flip (k0.05, f0.02, W4G128)</t>
  </si>
  <si>
    <t>Meta_Llama_3p1_8B_rtn_js_xl_w4g128_k0.05_f0.02_lm_eval</t>
  </si>
  <si>
    <t>RTN+Flip (k0.05, f0.03, W4G128)</t>
  </si>
  <si>
    <t>Meta_Llama_3p1_8B_rtn_js_xl_w4g128_k0.05_f0.03_lm_eval</t>
  </si>
  <si>
    <t>RTN+Flip (k0.05, f0.04, W4G128)</t>
  </si>
  <si>
    <t>Meta_Llama_3p1_8B_rtn_js_xl_w4g128_k0.05_f0.04_lm_eval</t>
  </si>
  <si>
    <t>RTN+Flip (k0.05, f0.05, W4G128)</t>
  </si>
  <si>
    <t>Meta_Llama_3p1_8B_rtn_js_xl_w4g128_k0.05_f0.05_lm_eval</t>
  </si>
  <si>
    <t>Selected best</t>
  </si>
  <si>
    <t>Llama3-8B FlatQuant + EGBC tune, 3-bit</t>
  </si>
  <si>
    <t>kind</t>
  </si>
  <si>
    <t>knee</t>
  </si>
  <si>
    <t>flip</t>
  </si>
  <si>
    <t>avg5</t>
  </si>
  <si>
    <t>delta Wiki vs raw</t>
  </si>
  <si>
    <t>delta avg5 vs raw</t>
  </si>
  <si>
    <t>better/equal tasks vs raw</t>
  </si>
  <si>
    <t>raw FlatQuant</t>
  </si>
  <si>
    <t>flatquant_raw_Meta-Llama-3-8B_b3_eval5</t>
  </si>
  <si>
    <t>EGBC tune</t>
  </si>
  <si>
    <t>llama3_fq_egbc_Meta-Llama-3-8B_b3_k0.0_f0.01</t>
  </si>
  <si>
    <t>llama3_fq_egbc_Meta-Llama-3-8B_b3_k0.0_f0.02</t>
  </si>
  <si>
    <t>llama3_fq_egbc_Meta-Llama-3-8B_b3_k0.0_f0.03</t>
  </si>
  <si>
    <t>llama3_fq_egbc_Meta-Llama-3-8B_b3_k0.0_f0.04</t>
  </si>
  <si>
    <t>llama3_fq_egbc_Meta-Llama-3-8B_b3_k0.0_f0.05</t>
  </si>
  <si>
    <t>llama3_fq_egbc_Meta-Llama-3-8B_b3_k0.01_f0.01</t>
  </si>
  <si>
    <t>llama3_fq_egbc_Meta-Llama-3-8B_b3_k0.01_f0.02</t>
  </si>
  <si>
    <t>llama3_fq_egbc_Meta-Llama-3-8B_b3_k0.01_f0.03</t>
  </si>
  <si>
    <t>llama3_fq_egbc_Meta-Llama-3-8B_b3_k0.01_f0.04</t>
  </si>
  <si>
    <t>llama3_fq_egbc_Meta-Llama-3-8B_b3_k0.01_f0.05</t>
  </si>
  <si>
    <t>llama3_fq_egbc_Meta-Llama-3-8B_b3_k0.02_f0.01</t>
  </si>
  <si>
    <t>Best full avg5</t>
  </si>
  <si>
    <t>GPTQ+BC</t>
  </si>
  <si>
    <t>GPTQ+Flip (K0.005,  F0.01)</t>
  </si>
  <si>
    <t>Llama-3-7B</t>
  </si>
  <si>
    <t>GPTQ+Flip (K0.0,  F0.005)</t>
  </si>
  <si>
    <t>Qwen-2.5</t>
  </si>
  <si>
    <t>GPTQ+Flip(K0.00,F0.005)</t>
  </si>
  <si>
    <t>AdaRound</t>
  </si>
  <si>
    <t>AdaRound+BC</t>
  </si>
  <si>
    <t>AdaRound+Flip (K0.01, F0.05)</t>
  </si>
  <si>
    <t>Llama-3.1</t>
  </si>
  <si>
    <t>3bits</t>
  </si>
  <si>
    <t>AVG</t>
  </si>
  <si>
    <t>AdaRound+Flip (-10,1)</t>
  </si>
  <si>
    <t>wiki</t>
  </si>
  <si>
    <t>c4</t>
  </si>
  <si>
    <t>Qwen2.5-7B · AWQ + smart_flip (3-bit, egbc_tune)</t>
  </si>
  <si>
    <t>wiki_ppl</t>
  </si>
  <si>
    <t>avg(5)</t>
  </si>
  <si>
    <t>float</t>
  </si>
  <si>
    <t>–</t>
  </si>
  <si>
    <t>raw</t>
  </si>
  <si>
    <t>Qwen2.5-7B · FlatQuant + smart_flip (3-bit, egbc_tune)</t>
  </si>
  <si>
    <t>Meta-Llama-3.1-8B · AWQ + smart_flip (3-bit, egbc_tune)</t>
  </si>
  <si>
    <t>Meta-Llama-3-8B · AWQ + smart_flip (3-bit, egbc_tune)</t>
  </si>
  <si>
    <t>* C4 ppl not available (tune script used --no-c4) | 14 earliest broken runs excluded | avg(5) = mean of arc-c arc-e boolq piqa rte</t>
  </si>
  <si>
    <t>RTN vs RTN+Flip 4 bit (W4A16)</t>
  </si>
  <si>
    <t>Naive RTN (A16)</t>
  </si>
  <si>
    <t>RTN+Flip (k0.0, f0.05, A16)</t>
  </si>
  <si>
    <t>~</t>
  </si>
  <si>
    <t>4 bit</t>
  </si>
  <si>
    <t>Old machine</t>
  </si>
  <si>
    <t>No F</t>
  </si>
  <si>
    <t>M0</t>
  </si>
  <si>
    <t>No K</t>
  </si>
  <si>
    <t>Best rerun</t>
  </si>
  <si>
    <t>M1</t>
  </si>
  <si>
    <t>k = -10</t>
  </si>
  <si>
    <t>no k</t>
  </si>
  <si>
    <t>f = 1</t>
  </si>
  <si>
    <t>no f</t>
  </si>
  <si>
    <t>besst</t>
  </si>
  <si>
    <t>Scale to fit 4 bit</t>
  </si>
  <si>
    <t>Scale to fit 3 bit</t>
  </si>
  <si>
    <t>3 bit</t>
  </si>
  <si>
    <t>Current one</t>
  </si>
  <si>
    <t>Wk2</t>
  </si>
  <si>
    <t>no F</t>
  </si>
  <si>
    <t>no K</t>
  </si>
  <si>
    <t>RTN vs RTN+Flip 3 bit (W3A16)</t>
  </si>
  <si>
    <t>Qwen2.5-7B · AWQ + smart_flip [3-bit]</t>
  </si>
  <si>
    <t>Qwen2.5-7B · FlatQuant + smart_flip [3-bit]</t>
  </si>
  <si>
    <t>Float avg</t>
  </si>
  <si>
    <t>Raw avg</t>
  </si>
  <si>
    <t>Float ppl</t>
  </si>
  <si>
    <t>Raw ppl</t>
  </si>
  <si>
    <t>knee↓ flip→</t>
  </si>
  <si>
    <t>f=0.01</t>
  </si>
  <si>
    <t>f=0.02</t>
  </si>
  <si>
    <t>f=0.03</t>
  </si>
  <si>
    <t>f=0.04</t>
  </si>
  <si>
    <t>f=0.05</t>
  </si>
  <si>
    <t>avg↑</t>
  </si>
  <si>
    <t>ppl↓</t>
  </si>
  <si>
    <t>k=0.0</t>
  </si>
  <si>
    <t>k=0.01</t>
  </si>
  <si>
    <t>k=0.02</t>
  </si>
  <si>
    <t>k=0.03</t>
  </si>
  <si>
    <t>k=0.04</t>
  </si>
  <si>
    <t>k=0.05</t>
  </si>
  <si>
    <t>Meta-Llama-3.1-8B · AWQ + smart_flip [3-bit]</t>
  </si>
  <si>
    <t>Meta-Llama-3-8B · AWQ + smart_flip [3-bit]</t>
  </si>
  <si>
    <t>Color scale: avg acc — red(low)→yellow→green(high) | ppl — green(low)→yellow→red(high) | Task cols: best-flip combo per knee row | Qwen FlatQuant k≥0.04 rows incomplete (still running)</t>
  </si>
  <si>
    <t>RTN+EGBC (0.03, 0.05)</t>
  </si>
  <si>
    <t>RTN+EGBC (0.03, 0.03)</t>
  </si>
  <si>
    <t>RTN+EGBC (0.01, 0.05)</t>
  </si>
  <si>
    <t>RTN+EGBC  (0, 0.05)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</si>
</sst>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trike/>
      <sz val="10"/>
      <color rgb="FF2FB41D"/>
      <name val="Arial"/>
      <scheme val="minor"/>
    </font>
    <font>
      <b/>
      <strike/>
      <sz val="10"/>
      <color theme="1"/>
      <name val="Arial"/>
      <scheme val="minor"/>
    </font>
    <font>
      <strike/>
      <sz val="10"/>
      <color rgb="FF000000"/>
      <name val="Arial"/>
      <scheme val="minor"/>
    </font>
    <font>
      <b/>
      <strike/>
      <sz val="10"/>
      <color rgb="FF000000"/>
      <name val="Arial"/>
      <scheme val="minor"/>
    </font>
    <font>
      <sz val="10"/>
      <color rgb="FF2FB41D"/>
      <name val="Arial"/>
      <scheme val="minor"/>
    </font>
    <font>
      <strike/>
      <sz val="10"/>
      <color theme="1"/>
      <name val="Arial"/>
    </font>
    <font>
      <b/>
      <strike/>
      <sz val="10"/>
      <color theme="1"/>
      <name val="Arial"/>
    </font>
    <font>
      <sz val="12"/>
      <color rgb="FF363A3D"/>
      <name val="&quot;Source Sans Pro&quot;"/>
    </font>
    <font>
      <sz val="10"/>
      <color rgb="FF000000"/>
      <name val="Arial"/>
    </font>
    <font>
      <sz val="10"/>
      <color theme="1"/>
      <name val="Calibri"/>
    </font>
    <font>
      <sz val="10"/>
      <color rgb="FFD9D9D9"/>
      <name val="Arial"/>
      <scheme val="minor"/>
    </font>
    <font>
      <b/>
      <sz val="10"/>
      <color theme="1"/>
      <name val="Cambria"/>
    </font>
    <font>
      <sz val="10"/>
      <color theme="1"/>
      <name val="Cambria"/>
    </font>
    <font>
      <sz val="8"/>
      <color theme="1"/>
      <name val="Cambria"/>
    </font>
    <font>
      <i/>
      <sz val="8"/>
      <color rgb="FF777777"/>
      <name val="Cambria"/>
    </font>
    <font>
      <b/>
      <u/>
      <sz val="10"/>
      <color theme="1"/>
      <name val="Arial"/>
      <scheme val="minor"/>
    </font>
    <font>
      <b/>
      <sz val="10"/>
      <color rgb="FFFFFFFF"/>
      <name val="Cambria"/>
    </font>
    <font>
      <b/>
      <sz val="10"/>
      <color rgb="FF000000"/>
      <name val="Cambria"/>
    </font>
    <font>
      <sz val="10"/>
      <color rgb="FF000000"/>
      <name val="Cambria"/>
    </font>
    <font>
      <sz val="8"/>
      <color rgb="FF555555"/>
      <name val="Cambria"/>
    </font>
    <font>
      <i/>
      <sz val="8"/>
      <color rgb="FF666666"/>
      <name val="Cambria"/>
    </font>
  </fonts>
  <fills count="19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660000"/>
        <bgColor rgb="FF660000"/>
      </patternFill>
    </fill>
    <fill>
      <patternFill patternType="solid">
        <fgColor rgb="FF783F04"/>
        <bgColor rgb="FF783F04"/>
      </patternFill>
    </fill>
    <fill>
      <patternFill patternType="solid">
        <fgColor rgb="FFFFF2CC"/>
        <bgColor rgb="FFFFF2CC"/>
      </patternFill>
    </fill>
    <fill>
      <patternFill patternType="solid">
        <fgColor rgb="FF0000FF"/>
        <bgColor rgb="FF0000FF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D9E1F2"/>
      </patternFill>
    </fill>
    <fill>
      <patternFill patternType="solid">
        <fgColor rgb="FFFBDB00"/>
        <bgColor rgb="FFFBDB00"/>
      </patternFill>
    </fill>
    <fill>
      <patternFill patternType="solid">
        <fgColor rgb="FFFAC104"/>
        <bgColor rgb="FFFAC104"/>
      </patternFill>
    </fill>
    <fill>
      <patternFill patternType="solid">
        <fgColor rgb="FFFEDA00"/>
        <bgColor rgb="FFFEDA00"/>
      </patternFill>
    </fill>
    <fill>
      <patternFill patternType="solid">
        <fgColor rgb="FFDF311A"/>
        <bgColor rgb="FFDF311A"/>
      </patternFill>
    </fill>
    <fill>
      <patternFill patternType="solid">
        <fgColor rgb="FF6AC42E"/>
        <bgColor rgb="FF6AC42E"/>
      </patternFill>
    </fill>
    <fill>
      <patternFill patternType="solid">
        <fgColor rgb="FFFBCA02"/>
        <bgColor rgb="FFFBCA02"/>
      </patternFill>
    </fill>
    <fill>
      <patternFill patternType="solid">
        <fgColor rgb="FF9ACC1F"/>
        <bgColor rgb="FF9ACC1F"/>
      </patternFill>
    </fill>
    <fill>
      <patternFill patternType="solid">
        <fgColor rgb="FFDC1E1E"/>
        <bgColor rgb="FFDC1E1E"/>
      </patternFill>
    </fill>
    <fill>
      <patternFill patternType="solid">
        <fgColor rgb="FFCED40F"/>
        <bgColor rgb="FFCED40F"/>
      </patternFill>
    </fill>
    <fill>
      <patternFill patternType="solid">
        <fgColor rgb="FF41BE3B"/>
        <bgColor rgb="FF41BE3B"/>
      </patternFill>
    </fill>
    <fill>
      <patternFill patternType="solid">
        <fgColor rgb="FF79C729"/>
        <bgColor rgb="FF79C729"/>
      </patternFill>
    </fill>
    <fill>
      <patternFill patternType="solid">
        <fgColor rgb="FFFCCE02"/>
        <bgColor rgb="FFFCCE02"/>
      </patternFill>
    </fill>
    <fill>
      <patternFill patternType="solid">
        <fgColor rgb="FFA8CE1B"/>
        <bgColor rgb="FFA8CE1B"/>
      </patternFill>
    </fill>
    <fill>
      <patternFill patternType="solid">
        <fgColor rgb="FFF3DA03"/>
        <bgColor rgb="FFF3DA03"/>
      </patternFill>
    </fill>
    <fill>
      <patternFill patternType="solid">
        <fgColor rgb="FFD5D50C"/>
        <bgColor rgb="FFD5D50C"/>
      </patternFill>
    </fill>
    <fill>
      <patternFill patternType="solid">
        <fgColor rgb="FFE9D806"/>
        <bgColor rgb="FFE9D806"/>
      </patternFill>
    </fill>
    <fill>
      <patternFill patternType="solid">
        <fgColor rgb="FF97CB20"/>
        <bgColor rgb="FF97CB20"/>
      </patternFill>
    </fill>
    <fill>
      <patternFill patternType="solid">
        <fgColor rgb="FFCAD310"/>
        <bgColor rgb="FFCAD310"/>
      </patternFill>
    </fill>
    <fill>
      <patternFill patternType="solid">
        <fgColor rgb="FFCFD40E"/>
        <bgColor rgb="FFCFD40E"/>
      </patternFill>
    </fill>
    <fill>
      <patternFill patternType="solid">
        <fgColor rgb="FF54C135"/>
        <bgColor rgb="FF54C135"/>
      </patternFill>
    </fill>
    <fill>
      <patternFill patternType="solid">
        <fgColor rgb="FF2CBB41"/>
        <bgColor rgb="FF2CBB41"/>
      </patternFill>
    </fill>
    <fill>
      <patternFill patternType="solid">
        <fgColor rgb="FF7BC729"/>
        <bgColor rgb="FF7BC729"/>
      </patternFill>
    </fill>
    <fill>
      <patternFill patternType="solid">
        <fgColor rgb="FF83C826"/>
        <bgColor rgb="FF83C826"/>
      </patternFill>
    </fill>
    <fill>
      <patternFill patternType="solid">
        <fgColor rgb="FFC2D212"/>
        <bgColor rgb="FFC2D212"/>
      </patternFill>
    </fill>
    <fill>
      <patternFill patternType="solid">
        <fgColor rgb="FFB9D115"/>
        <bgColor rgb="FFB9D115"/>
      </patternFill>
    </fill>
    <fill>
      <patternFill patternType="solid">
        <fgColor rgb="FFF5A608"/>
        <bgColor rgb="FFF5A608"/>
      </patternFill>
    </fill>
    <fill>
      <patternFill patternType="solid">
        <fgColor rgb="FFF1900B"/>
        <bgColor rgb="FFF1900B"/>
      </patternFill>
    </fill>
    <fill>
      <patternFill patternType="solid">
        <fgColor rgb="FFFBC803"/>
        <bgColor rgb="FFFBC803"/>
      </patternFill>
    </fill>
    <fill>
      <patternFill patternType="solid">
        <fgColor rgb="FFFDD101"/>
        <bgColor rgb="FFFDD101"/>
      </patternFill>
    </fill>
    <fill>
      <patternFill patternType="solid">
        <fgColor rgb="FFA4CD1C"/>
        <bgColor rgb="FFA4CD1C"/>
      </patternFill>
    </fill>
    <fill>
      <patternFill patternType="solid">
        <fgColor rgb="FFE2D708"/>
        <bgColor rgb="FFE2D708"/>
      </patternFill>
    </fill>
    <fill>
      <patternFill patternType="solid">
        <fgColor rgb="FF33BC3F"/>
        <bgColor rgb="FF33BC3F"/>
      </patternFill>
    </fill>
    <fill>
      <patternFill patternType="solid">
        <fgColor rgb="FF89C924"/>
        <bgColor rgb="FF89C924"/>
      </patternFill>
    </fill>
    <fill>
      <patternFill patternType="solid">
        <fgColor rgb="FFD0D40E"/>
        <bgColor rgb="FFD0D40E"/>
      </patternFill>
    </fill>
    <fill>
      <patternFill patternType="solid">
        <fgColor rgb="FF4ABF38"/>
        <bgColor rgb="FF4ABF38"/>
      </patternFill>
    </fill>
    <fill>
      <patternFill patternType="solid">
        <fgColor rgb="FF71C52C"/>
        <bgColor rgb="FF71C52C"/>
      </patternFill>
    </fill>
    <fill>
      <patternFill patternType="solid">
        <fgColor rgb="FFF8B705"/>
        <bgColor rgb="FFF8B705"/>
      </patternFill>
    </fill>
    <fill>
      <patternFill patternType="solid">
        <fgColor rgb="FFFCCD02"/>
        <bgColor rgb="FFFCCD02"/>
      </patternFill>
    </fill>
    <fill>
      <patternFill patternType="solid">
        <fgColor rgb="FFC3D212"/>
        <bgColor rgb="FFC3D212"/>
      </patternFill>
    </fill>
    <fill>
      <patternFill patternType="solid">
        <fgColor rgb="FFADCF19"/>
        <bgColor rgb="FFADCF19"/>
      </patternFill>
    </fill>
    <fill>
      <patternFill patternType="solid">
        <fgColor rgb="FF7CC729"/>
        <bgColor rgb="FF7CC729"/>
      </patternFill>
    </fill>
    <fill>
      <patternFill patternType="solid">
        <fgColor rgb="FF77C62A"/>
        <bgColor rgb="FF77C62A"/>
      </patternFill>
    </fill>
    <fill>
      <patternFill patternType="solid">
        <fgColor rgb="FFF0D904"/>
        <bgColor rgb="FFF0D904"/>
      </patternFill>
    </fill>
    <fill>
      <patternFill patternType="solid">
        <fgColor rgb="FF00B450"/>
        <bgColor rgb="FF00B450"/>
      </patternFill>
    </fill>
    <fill>
      <patternFill patternType="solid">
        <fgColor rgb="FFEF870D"/>
        <bgColor rgb="FFEF870D"/>
      </patternFill>
    </fill>
    <fill>
      <patternFill patternType="solid">
        <fgColor rgb="FFBBD115"/>
        <bgColor rgb="FFBBD115"/>
      </patternFill>
    </fill>
    <fill>
      <patternFill patternType="solid">
        <fgColor rgb="FFB4D017"/>
        <bgColor rgb="FFB4D017"/>
      </patternFill>
    </fill>
    <fill>
      <patternFill patternType="solid">
        <fgColor rgb="FF9CCC1E"/>
        <bgColor rgb="FF9CCC1E"/>
      </patternFill>
    </fill>
    <fill>
      <patternFill patternType="solid">
        <fgColor rgb="FFD2D40E"/>
        <bgColor rgb="FFD2D40E"/>
      </patternFill>
    </fill>
    <fill>
      <patternFill patternType="solid">
        <fgColor rgb="FF85C826"/>
        <bgColor rgb="FF85C826"/>
      </patternFill>
    </fill>
    <fill>
      <patternFill patternType="solid">
        <fgColor rgb="FFD3D50D"/>
        <bgColor rgb="FFD3D50D"/>
      </patternFill>
    </fill>
    <fill>
      <patternFill patternType="solid">
        <fgColor rgb="FF8AC924"/>
        <bgColor rgb="FF8AC924"/>
      </patternFill>
    </fill>
    <fill>
      <patternFill patternType="solid">
        <fgColor rgb="FFB8D016"/>
        <bgColor rgb="FFB8D016"/>
      </patternFill>
    </fill>
    <fill>
      <patternFill patternType="solid">
        <fgColor rgb="FF1BB847"/>
        <bgColor rgb="FF1BB847"/>
      </patternFill>
    </fill>
    <fill>
      <patternFill patternType="solid">
        <fgColor rgb="FFE65914"/>
        <bgColor rgb="FFE65914"/>
      </patternFill>
    </fill>
    <fill>
      <patternFill patternType="solid">
        <fgColor rgb="FFB2D017"/>
        <bgColor rgb="FFB2D017"/>
      </patternFill>
    </fill>
    <fill>
      <patternFill patternType="solid">
        <fgColor rgb="FF4CBF38"/>
        <bgColor rgb="FF4CBF38"/>
      </patternFill>
    </fill>
    <fill>
      <patternFill patternType="solid">
        <fgColor rgb="FF24B944"/>
        <bgColor rgb="FF24B944"/>
      </patternFill>
    </fill>
    <fill>
      <patternFill patternType="solid">
        <fgColor rgb="FF73C62B"/>
        <bgColor rgb="FF73C62B"/>
      </patternFill>
    </fill>
    <fill>
      <patternFill patternType="solid">
        <fgColor rgb="FFF8B805"/>
        <bgColor rgb="FFF8B805"/>
      </patternFill>
    </fill>
    <fill>
      <patternFill patternType="solid">
        <fgColor rgb="FFF6AB07"/>
        <bgColor rgb="FFF6AB07"/>
      </patternFill>
    </fill>
    <fill>
      <patternFill patternType="solid">
        <fgColor rgb="FFFAC204"/>
        <bgColor rgb="FFFAC204"/>
      </patternFill>
    </fill>
    <fill>
      <patternFill patternType="solid">
        <fgColor rgb="FFDD261C"/>
        <bgColor rgb="FFDD261C"/>
      </patternFill>
    </fill>
    <fill>
      <patternFill patternType="solid">
        <fgColor rgb="FFFDDB00"/>
        <bgColor rgb="FFFDDB00"/>
      </patternFill>
    </fill>
    <fill>
      <patternFill patternType="solid">
        <fgColor rgb="FFF4A109"/>
        <bgColor rgb="FFF4A109"/>
      </patternFill>
    </fill>
    <fill>
      <patternFill patternType="solid">
        <fgColor rgb="FFC0D213"/>
        <bgColor rgb="FFC0D213"/>
      </patternFill>
    </fill>
    <fill>
      <patternFill patternType="solid">
        <fgColor rgb="FF50C036"/>
        <bgColor rgb="FF50C036"/>
      </patternFill>
    </fill>
    <fill>
      <patternFill patternType="solid">
        <fgColor rgb="FF7DC728"/>
        <bgColor rgb="FF7DC728"/>
      </patternFill>
    </fill>
    <fill>
      <patternFill patternType="solid">
        <fgColor rgb="FFF2970A"/>
        <bgColor rgb="FFF2970A"/>
      </patternFill>
    </fill>
    <fill>
      <patternFill patternType="solid">
        <fgColor rgb="FF95CB21"/>
        <bgColor rgb="FF95CB21"/>
      </patternFill>
    </fill>
    <fill>
      <patternFill patternType="solid">
        <fgColor rgb="FF6BC42E"/>
        <bgColor rgb="FF6BC42E"/>
      </patternFill>
    </fill>
    <fill>
      <patternFill patternType="solid">
        <fgColor rgb="FFF8B905"/>
        <bgColor rgb="FFF8B905"/>
      </patternFill>
    </fill>
    <fill>
      <patternFill patternType="solid">
        <fgColor rgb="FFEED905"/>
        <bgColor rgb="FFEED905"/>
      </patternFill>
    </fill>
    <fill>
      <patternFill patternType="solid">
        <fgColor rgb="FF26B944"/>
        <bgColor rgb="FF26B944"/>
      </patternFill>
    </fill>
    <fill>
      <patternFill patternType="solid">
        <fgColor rgb="FF81C827"/>
        <bgColor rgb="FF81C827"/>
      </patternFill>
    </fill>
    <fill>
      <patternFill patternType="solid">
        <fgColor rgb="FF80C827"/>
        <bgColor rgb="FF80C827"/>
      </patternFill>
    </fill>
    <fill>
      <patternFill patternType="solid">
        <fgColor rgb="FFC4D212"/>
        <bgColor rgb="FFC4D212"/>
      </patternFill>
    </fill>
    <fill>
      <patternFill patternType="solid">
        <fgColor rgb="FFCBD310"/>
        <bgColor rgb="FFCBD310"/>
      </patternFill>
    </fill>
    <fill>
      <patternFill patternType="solid">
        <fgColor rgb="FFF1D904"/>
        <bgColor rgb="FFF1D904"/>
      </patternFill>
    </fill>
    <fill>
      <patternFill patternType="solid">
        <fgColor rgb="FFFEDB00"/>
        <bgColor rgb="FFFEDB00"/>
      </patternFill>
    </fill>
    <fill>
      <patternFill patternType="solid">
        <fgColor rgb="FFD4D50D"/>
        <bgColor rgb="FFD4D50D"/>
      </patternFill>
    </fill>
    <fill>
      <patternFill patternType="solid">
        <fgColor rgb="FF40BE3B"/>
        <bgColor rgb="FF40BE3B"/>
      </patternFill>
    </fill>
    <fill>
      <patternFill patternType="solid">
        <fgColor rgb="FFFDD301"/>
        <bgColor rgb="FFFDD301"/>
      </patternFill>
    </fill>
    <fill>
      <patternFill patternType="solid">
        <fgColor rgb="FF98CB20"/>
        <bgColor rgb="FF98CB20"/>
      </patternFill>
    </fill>
    <fill>
      <patternFill patternType="solid">
        <fgColor rgb="FFEEEEEE"/>
        <bgColor rgb="FFEEEEEE"/>
      </patternFill>
    </fill>
    <fill>
      <patternFill patternType="solid">
        <fgColor rgb="FFF9BE04"/>
        <bgColor rgb="FFF9BE04"/>
      </patternFill>
    </fill>
    <fill>
      <patternFill patternType="solid">
        <fgColor rgb="FF4BBF38"/>
        <bgColor rgb="FF4BBF38"/>
      </patternFill>
    </fill>
    <fill>
      <patternFill patternType="solid">
        <fgColor rgb="FF2BBA42"/>
        <bgColor rgb="FF2BBA42"/>
      </patternFill>
    </fill>
    <fill>
      <patternFill patternType="solid">
        <fgColor rgb="FFFBCB02"/>
        <bgColor rgb="FFFBCB02"/>
      </patternFill>
    </fill>
    <fill>
      <patternFill patternType="solid">
        <fgColor rgb="FFEE800E"/>
        <bgColor rgb="FFEE800E"/>
      </patternFill>
    </fill>
    <fill>
      <patternFill patternType="solid">
        <fgColor rgb="FF30BB40"/>
        <bgColor rgb="FF30BB40"/>
      </patternFill>
    </fill>
    <fill>
      <patternFill patternType="solid">
        <fgColor rgb="FFE44A16"/>
        <bgColor rgb="FFE44A16"/>
      </patternFill>
    </fill>
    <fill>
      <patternFill patternType="solid">
        <fgColor rgb="FFC1D213"/>
        <bgColor rgb="FFC1D213"/>
      </patternFill>
    </fill>
    <fill>
      <patternFill patternType="solid">
        <fgColor rgb="FFCDD40F"/>
        <bgColor rgb="FFCDD40F"/>
      </patternFill>
    </fill>
    <fill>
      <patternFill patternType="solid">
        <fgColor rgb="FFD9D60B"/>
        <bgColor rgb="FFD9D60B"/>
      </patternFill>
    </fill>
    <fill>
      <patternFill patternType="solid">
        <fgColor rgb="FF49BF39"/>
        <bgColor rgb="FF49BF39"/>
      </patternFill>
    </fill>
    <fill>
      <patternFill patternType="solid">
        <fgColor rgb="FFDFD709"/>
        <bgColor rgb="FFDFD709"/>
      </patternFill>
    </fill>
    <fill>
      <patternFill patternType="solid">
        <fgColor rgb="FFED7E0E"/>
        <bgColor rgb="FFED7E0E"/>
      </patternFill>
    </fill>
    <fill>
      <patternFill patternType="solid">
        <fgColor rgb="FF3BBD3D"/>
        <bgColor rgb="FF3BBD3D"/>
      </patternFill>
    </fill>
    <fill>
      <patternFill patternType="solid">
        <fgColor rgb="FFED7F0E"/>
        <bgColor rgb="FFED7F0E"/>
      </patternFill>
    </fill>
    <fill>
      <patternFill patternType="solid">
        <fgColor rgb="FFBED114"/>
        <bgColor rgb="FFBED114"/>
      </patternFill>
    </fill>
    <fill>
      <patternFill patternType="solid">
        <fgColor rgb="FFFCCC02"/>
        <bgColor rgb="FFFCCC02"/>
      </patternFill>
    </fill>
    <fill>
      <patternFill patternType="solid">
        <fgColor rgb="FFD2D50D"/>
        <bgColor rgb="FFD2D50D"/>
      </patternFill>
    </fill>
    <fill>
      <patternFill patternType="solid">
        <fgColor rgb="FFB5D017"/>
        <bgColor rgb="FFB5D017"/>
      </patternFill>
    </fill>
    <fill>
      <patternFill patternType="solid">
        <fgColor rgb="FF96CB20"/>
        <bgColor rgb="FF96CB20"/>
      </patternFill>
    </fill>
    <fill>
      <patternFill patternType="solid">
        <fgColor rgb="FFF08E0C"/>
        <bgColor rgb="FFF08E0C"/>
      </patternFill>
    </fill>
    <fill>
      <patternFill patternType="solid">
        <fgColor rgb="FF39BC3E"/>
        <bgColor rgb="FF39BC3E"/>
      </patternFill>
    </fill>
    <fill>
      <patternFill patternType="solid">
        <fgColor rgb="FFE7D807"/>
        <bgColor rgb="FFE7D807"/>
      </patternFill>
    </fill>
    <fill>
      <patternFill patternType="solid">
        <fgColor rgb="FFF39E09"/>
        <bgColor rgb="FFF39E09"/>
      </patternFill>
    </fill>
    <fill>
      <patternFill patternType="solid">
        <fgColor rgb="FFD7D50C"/>
        <bgColor rgb="FFD7D50C"/>
      </patternFill>
    </fill>
    <fill>
      <patternFill patternType="solid">
        <fgColor rgb="FFA9CE1A"/>
        <bgColor rgb="FFA9CE1A"/>
      </patternFill>
    </fill>
    <fill>
      <patternFill patternType="solid">
        <fgColor rgb="FF8ECA23"/>
        <bgColor rgb="FF8ECA23"/>
      </patternFill>
    </fill>
    <fill>
      <patternFill patternType="solid">
        <fgColor rgb="FFEA6E11"/>
        <bgColor rgb="FFEA6E11"/>
      </patternFill>
    </fill>
    <fill>
      <patternFill patternType="solid">
        <fgColor rgb="FFE34717"/>
        <bgColor rgb="FFE34717"/>
      </patternFill>
    </fill>
    <fill>
      <patternFill patternType="solid">
        <fgColor rgb="FFEC7610"/>
        <bgColor rgb="FFEC7610"/>
      </patternFill>
    </fill>
    <fill>
      <patternFill patternType="solid">
        <fgColor rgb="FFEDD905"/>
        <bgColor rgb="FFEDD905"/>
      </patternFill>
    </fill>
    <fill>
      <patternFill patternType="solid">
        <fgColor rgb="FF92CA22"/>
        <bgColor rgb="FF92CA22"/>
      </patternFill>
    </fill>
    <fill>
      <patternFill patternType="solid">
        <fgColor rgb="FFF4A508"/>
        <bgColor rgb="FFF4A508"/>
      </patternFill>
    </fill>
    <fill>
      <patternFill patternType="solid">
        <fgColor rgb="FF01B44F"/>
        <bgColor rgb="FF01B44F"/>
      </patternFill>
    </fill>
    <fill>
      <patternFill patternType="solid">
        <fgColor rgb="FF5EC232"/>
        <bgColor rgb="FF5EC232"/>
      </patternFill>
    </fill>
    <fill>
      <patternFill patternType="solid">
        <fgColor rgb="FFFDD501"/>
        <bgColor rgb="FFFDD501"/>
      </patternFill>
    </fill>
    <fill>
      <patternFill patternType="solid">
        <fgColor rgb="FFDDD60A"/>
        <bgColor rgb="FFDDD60A"/>
      </patternFill>
    </fill>
    <fill>
      <patternFill patternType="solid">
        <fgColor rgb="FF9DCC1E"/>
        <bgColor rgb="FF9DCC1E"/>
      </patternFill>
    </fill>
    <fill>
      <patternFill patternType="solid">
        <fgColor rgb="FFA5CD1C"/>
        <bgColor rgb="FFA5CD1C"/>
      </patternFill>
    </fill>
    <fill>
      <patternFill patternType="solid">
        <fgColor rgb="FFC6D311"/>
        <bgColor rgb="FFC6D311"/>
      </patternFill>
    </fill>
    <fill>
      <patternFill patternType="solid">
        <fgColor rgb="FF91CA22"/>
        <bgColor rgb="FF91CA22"/>
      </patternFill>
    </fill>
    <fill>
      <patternFill patternType="solid">
        <fgColor rgb="FFEB7310"/>
        <bgColor rgb="FFEB7310"/>
      </patternFill>
    </fill>
    <fill>
      <patternFill patternType="solid">
        <fgColor rgb="FF68C42F"/>
        <bgColor rgb="FF68C42F"/>
      </patternFill>
    </fill>
    <fill>
      <patternFill patternType="solid">
        <fgColor rgb="FFF2980A"/>
        <bgColor rgb="FFF2980A"/>
      </patternFill>
    </fill>
    <fill>
      <patternFill patternType="solid">
        <fgColor rgb="FFF8BA05"/>
        <bgColor rgb="FFF8BA05"/>
      </patternFill>
    </fill>
    <fill>
      <patternFill patternType="solid">
        <fgColor rgb="FFE55315"/>
        <bgColor rgb="FFE55315"/>
      </patternFill>
    </fill>
    <fill>
      <patternFill patternType="solid">
        <fgColor rgb="FFF9DB01"/>
        <bgColor rgb="FFF9DB01"/>
      </patternFill>
    </fill>
    <fill>
      <patternFill patternType="solid">
        <fgColor rgb="FFFAC303"/>
        <bgColor rgb="FFFAC303"/>
      </patternFill>
    </fill>
    <fill>
      <patternFill patternType="solid">
        <fgColor rgb="FFBFD213"/>
        <bgColor rgb="FFBFD213"/>
      </patternFill>
    </fill>
    <fill>
      <patternFill patternType="solid">
        <fgColor rgb="FFAACE1A"/>
        <bgColor rgb="FFAACE1A"/>
      </patternFill>
    </fill>
    <fill>
      <patternFill patternType="solid">
        <fgColor rgb="FFD5D50D"/>
        <bgColor rgb="FFD5D50D"/>
      </patternFill>
    </fill>
    <fill>
      <patternFill patternType="solid">
        <fgColor rgb="FFEE810E"/>
        <bgColor rgb="FFEE810E"/>
      </patternFill>
    </fill>
    <fill>
      <patternFill patternType="solid">
        <fgColor rgb="FF84C826"/>
        <bgColor rgb="FF84C826"/>
      </patternFill>
    </fill>
    <fill>
      <patternFill patternType="solid">
        <fgColor rgb="FFEC770F"/>
        <bgColor rgb="FFEC770F"/>
      </patternFill>
    </fill>
    <fill>
      <patternFill patternType="solid">
        <fgColor rgb="FFE6D807"/>
        <bgColor rgb="FFE6D807"/>
      </patternFill>
    </fill>
    <fill>
      <patternFill patternType="solid">
        <fgColor rgb="FFED7C0F"/>
        <bgColor rgb="FFED7C0F"/>
      </patternFill>
    </fill>
    <fill>
      <patternFill patternType="solid">
        <fgColor rgb="FFACCF19"/>
        <bgColor rgb="FFACCF19"/>
      </patternFill>
    </fill>
    <fill>
      <patternFill patternType="solid">
        <fgColor rgb="FFF8DB01"/>
        <bgColor rgb="FFF8DB01"/>
      </patternFill>
    </fill>
    <fill>
      <patternFill patternType="solid">
        <fgColor rgb="FF8DCA23"/>
        <bgColor rgb="FF8DCA23"/>
      </patternFill>
    </fill>
    <fill>
      <patternFill patternType="solid">
        <fgColor rgb="FFEA6A11"/>
        <bgColor rgb="FFEA6A11"/>
      </patternFill>
    </fill>
    <fill>
      <patternFill patternType="solid">
        <fgColor rgb="FF57C134"/>
        <bgColor rgb="FF57C134"/>
      </patternFill>
    </fill>
    <fill>
      <patternFill patternType="solid">
        <fgColor rgb="FFFADB01"/>
        <bgColor rgb="FFFADB01"/>
      </patternFill>
    </fill>
    <fill>
      <patternFill patternType="solid">
        <fgColor rgb="FFB7D016"/>
        <bgColor rgb="FFB7D016"/>
      </patternFill>
    </fill>
    <fill>
      <patternFill patternType="solid">
        <fgColor rgb="FF94CB21"/>
        <bgColor rgb="FF94CB21"/>
      </patternFill>
    </fill>
    <fill>
      <patternFill patternType="solid">
        <fgColor rgb="FFF1930B"/>
        <bgColor rgb="FFF1930B"/>
      </patternFill>
    </fill>
    <fill>
      <patternFill patternType="solid">
        <fgColor rgb="FFF4DA03"/>
        <bgColor rgb="FFF4DA03"/>
      </patternFill>
    </fill>
    <fill>
      <patternFill patternType="solid">
        <fgColor rgb="FFF2990A"/>
        <bgColor rgb="FFF2990A"/>
      </patternFill>
    </fill>
    <fill>
      <patternFill patternType="solid">
        <fgColor rgb="FFFBC902"/>
        <bgColor rgb="FFFBC902"/>
      </patternFill>
    </fill>
    <fill>
      <patternFill patternType="solid">
        <fgColor rgb="FFF5DA03"/>
        <bgColor rgb="FFF5DA03"/>
      </patternFill>
    </fill>
    <fill>
      <patternFill patternType="solid">
        <fgColor rgb="FF99CC1F"/>
        <bgColor rgb="FF99CC1F"/>
      </patternFill>
    </fill>
    <fill>
      <patternFill patternType="solid">
        <fgColor rgb="FFE96912"/>
        <bgColor rgb="FFE96912"/>
      </patternFill>
    </fill>
    <fill>
      <patternFill patternType="solid">
        <fgColor rgb="FFE86013"/>
        <bgColor rgb="FFE86013"/>
      </patternFill>
    </fill>
    <fill>
      <patternFill patternType="solid">
        <fgColor rgb="FFF39D09"/>
        <bgColor rgb="FFF39D09"/>
      </patternFill>
    </fill>
    <fill>
      <patternFill patternType="solid">
        <fgColor rgb="FFB6D016"/>
        <bgColor rgb="FFB6D016"/>
      </patternFill>
    </fill>
    <fill>
      <patternFill patternType="solid">
        <fgColor rgb="FFBAD115"/>
        <bgColor rgb="FFBAD115"/>
      </patternFill>
    </fill>
    <fill>
      <patternFill patternType="solid">
        <fgColor rgb="FF69C42E"/>
        <bgColor rgb="FF69C42E"/>
      </patternFill>
    </fill>
    <fill>
      <patternFill patternType="solid">
        <fgColor rgb="FFDBD60B"/>
        <bgColor rgb="FFDBD60B"/>
      </patternFill>
    </fill>
    <fill>
      <patternFill patternType="solid">
        <fgColor rgb="FFFAC503"/>
        <bgColor rgb="FFFAC503"/>
      </patternFill>
    </fill>
    <fill>
      <patternFill patternType="solid">
        <fgColor rgb="FFE34417"/>
        <bgColor rgb="FFE34417"/>
      </patternFill>
    </fill>
    <fill>
      <patternFill patternType="solid">
        <fgColor rgb="FFF6AE07"/>
        <bgColor rgb="FFF6AE07"/>
      </patternFill>
    </fill>
    <fill>
      <patternFill patternType="solid">
        <fgColor rgb="FFA2CD1D"/>
        <bgColor rgb="FFA2CD1D"/>
      </patternFill>
    </fill>
    <fill>
      <patternFill patternType="solid">
        <fgColor rgb="FFF7DA02"/>
        <bgColor rgb="FFF7DA02"/>
      </patternFill>
    </fill>
    <fill>
      <patternFill patternType="solid">
        <fgColor rgb="FFEA6B11"/>
        <bgColor rgb="FFEA6B11"/>
      </patternFill>
    </fill>
    <fill>
      <patternFill patternType="solid">
        <fgColor rgb="FFF4A209"/>
        <bgColor rgb="FFF4A209"/>
      </patternFill>
    </fill>
    <fill>
      <patternFill patternType="solid">
        <fgColor rgb="FFB3D017"/>
        <bgColor rgb="FFB3D017"/>
      </patternFill>
    </fill>
    <fill>
      <patternFill patternType="solid">
        <fgColor rgb="FFDED60A"/>
        <bgColor rgb="FFDED60A"/>
      </patternFill>
    </fill>
    <fill>
      <patternFill patternType="solid">
        <fgColor rgb="FFF39C0A"/>
        <bgColor rgb="FFF39C0A"/>
      </patternFill>
    </fill>
    <fill>
      <patternFill patternType="solid">
        <fgColor rgb="FFC5D311"/>
        <bgColor rgb="FFC5D311"/>
      </patternFill>
    </fill>
    <fill>
      <patternFill patternType="solid">
        <fgColor rgb="FFFCDB00"/>
        <bgColor rgb="FFFCDB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quotePrefix="1" applyFont="1"/>
    <xf numFmtId="0" fontId="1" fillId="3" borderId="0" xfId="0" applyFont="1" applyFill="1"/>
    <xf numFmtId="0" fontId="4" fillId="2" borderId="0" xfId="0" applyFont="1" applyFill="1"/>
    <xf numFmtId="0" fontId="1" fillId="4" borderId="0" xfId="0" applyFont="1" applyFill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right"/>
    </xf>
    <xf numFmtId="0" fontId="1" fillId="5" borderId="0" xfId="0" quotePrefix="1" applyFont="1" applyFill="1"/>
    <xf numFmtId="0" fontId="4" fillId="5" borderId="0" xfId="0" applyFont="1" applyFill="1"/>
    <xf numFmtId="0" fontId="4" fillId="5" borderId="0" xfId="0" applyFont="1" applyFill="1" applyAlignment="1">
      <alignment horizontal="left"/>
    </xf>
    <xf numFmtId="0" fontId="2" fillId="5" borderId="0" xfId="0" applyFont="1" applyFill="1"/>
    <xf numFmtId="0" fontId="1" fillId="3" borderId="0" xfId="0" quotePrefix="1" applyFont="1" applyFill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5" fillId="0" borderId="0" xfId="0" quotePrefix="1" applyFont="1"/>
    <xf numFmtId="0" fontId="1" fillId="6" borderId="0" xfId="0" applyFont="1" applyFill="1"/>
    <xf numFmtId="0" fontId="5" fillId="3" borderId="0" xfId="0" applyFont="1" applyFill="1"/>
    <xf numFmtId="0" fontId="5" fillId="5" borderId="0" xfId="0" applyFont="1" applyFill="1"/>
    <xf numFmtId="0" fontId="5" fillId="5" borderId="0" xfId="0" quotePrefix="1" applyFont="1" applyFill="1"/>
    <xf numFmtId="0" fontId="1" fillId="4" borderId="0" xfId="0" quotePrefix="1" applyFont="1" applyFill="1"/>
    <xf numFmtId="0" fontId="4" fillId="0" borderId="0" xfId="0" quotePrefix="1" applyFont="1"/>
    <xf numFmtId="0" fontId="2" fillId="2" borderId="0" xfId="0" applyFont="1" applyFill="1" applyAlignment="1">
      <alignment horizontal="right"/>
    </xf>
    <xf numFmtId="0" fontId="1" fillId="7" borderId="0" xfId="0" applyFont="1" applyFill="1"/>
    <xf numFmtId="0" fontId="5" fillId="7" borderId="0" xfId="0" applyFont="1" applyFill="1" applyAlignment="1">
      <alignment horizontal="right"/>
    </xf>
    <xf numFmtId="0" fontId="1" fillId="7" borderId="0" xfId="0" quotePrefix="1" applyFont="1" applyFill="1"/>
    <xf numFmtId="0" fontId="2" fillId="7" borderId="0" xfId="0" applyFont="1" applyFill="1" applyAlignment="1">
      <alignment horizontal="right"/>
    </xf>
    <xf numFmtId="0" fontId="1" fillId="7" borderId="0" xfId="0" applyFont="1" applyFill="1" applyAlignment="1">
      <alignment horizontal="left"/>
    </xf>
    <xf numFmtId="0" fontId="3" fillId="7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5" fillId="2" borderId="0" xfId="0" applyFont="1" applyFill="1"/>
    <xf numFmtId="0" fontId="3" fillId="5" borderId="0" xfId="0" applyFont="1" applyFill="1"/>
    <xf numFmtId="0" fontId="2" fillId="0" borderId="0" xfId="0" quotePrefix="1" applyFont="1" applyAlignment="1">
      <alignment horizontal="left"/>
    </xf>
    <xf numFmtId="0" fontId="3" fillId="5" borderId="0" xfId="0" applyFont="1" applyFill="1" applyAlignment="1">
      <alignment horizontal="right"/>
    </xf>
    <xf numFmtId="0" fontId="2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10" fillId="2" borderId="0" xfId="0" applyFont="1" applyFill="1" applyAlignment="1">
      <alignment horizontal="right"/>
    </xf>
    <xf numFmtId="0" fontId="7" fillId="3" borderId="0" xfId="0" applyFont="1" applyFill="1"/>
    <xf numFmtId="0" fontId="11" fillId="0" borderId="0" xfId="0" applyFont="1" applyAlignment="1">
      <alignment horizontal="right"/>
    </xf>
    <xf numFmtId="0" fontId="12" fillId="0" borderId="0" xfId="0" applyFont="1"/>
    <xf numFmtId="0" fontId="5" fillId="2" borderId="0" xfId="0" applyFont="1" applyFill="1" applyAlignment="1">
      <alignment horizontal="right"/>
    </xf>
    <xf numFmtId="0" fontId="13" fillId="0" borderId="0" xfId="0" applyFont="1"/>
    <xf numFmtId="0" fontId="13" fillId="3" borderId="0" xfId="0" applyFont="1" applyFill="1"/>
    <xf numFmtId="0" fontId="13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2" borderId="0" xfId="0" applyFont="1" applyFill="1" applyAlignment="1">
      <alignment horizontal="right"/>
    </xf>
    <xf numFmtId="0" fontId="15" fillId="0" borderId="0" xfId="0" applyFont="1"/>
    <xf numFmtId="0" fontId="15" fillId="3" borderId="0" xfId="0" applyFont="1" applyFill="1"/>
    <xf numFmtId="0" fontId="1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2" fillId="8" borderId="0" xfId="0" applyFont="1" applyFill="1"/>
    <xf numFmtId="0" fontId="1" fillId="9" borderId="0" xfId="0" applyFont="1" applyFill="1"/>
    <xf numFmtId="0" fontId="3" fillId="9" borderId="0" xfId="0" applyFont="1" applyFill="1"/>
    <xf numFmtId="0" fontId="4" fillId="9" borderId="0" xfId="0" applyFont="1" applyFill="1"/>
    <xf numFmtId="0" fontId="16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6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10" borderId="0" xfId="0" applyFont="1" applyFill="1" applyAlignment="1">
      <alignment horizontal="left"/>
    </xf>
    <xf numFmtId="0" fontId="16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8" fillId="0" borderId="0" xfId="0" applyFont="1"/>
    <xf numFmtId="0" fontId="18" fillId="2" borderId="0" xfId="0" applyFont="1" applyFill="1"/>
    <xf numFmtId="0" fontId="1" fillId="11" borderId="0" xfId="0" applyFont="1" applyFill="1"/>
    <xf numFmtId="0" fontId="1" fillId="11" borderId="0" xfId="0" quotePrefix="1" applyFont="1" applyFill="1"/>
    <xf numFmtId="0" fontId="1" fillId="12" borderId="0" xfId="0" applyFont="1" applyFill="1"/>
    <xf numFmtId="0" fontId="3" fillId="12" borderId="0" xfId="0" applyFont="1" applyFill="1"/>
    <xf numFmtId="0" fontId="4" fillId="12" borderId="0" xfId="0" applyFont="1" applyFill="1"/>
    <xf numFmtId="0" fontId="19" fillId="0" borderId="2" xfId="0" applyFont="1" applyBorder="1" applyAlignment="1">
      <alignment horizontal="center"/>
    </xf>
    <xf numFmtId="0" fontId="19" fillId="0" borderId="2" xfId="0" applyFont="1" applyBorder="1" applyAlignment="1">
      <alignment horizontal="right"/>
    </xf>
    <xf numFmtId="0" fontId="20" fillId="0" borderId="2" xfId="0" applyFont="1" applyBorder="1" applyAlignment="1">
      <alignment horizontal="center"/>
    </xf>
    <xf numFmtId="0" fontId="20" fillId="13" borderId="2" xfId="0" applyFont="1" applyFill="1" applyBorder="1" applyAlignment="1">
      <alignment horizontal="center"/>
    </xf>
    <xf numFmtId="0" fontId="19" fillId="13" borderId="2" xfId="0" applyFont="1" applyFill="1" applyBorder="1" applyAlignment="1">
      <alignment horizontal="center"/>
    </xf>
    <xf numFmtId="0" fontId="1" fillId="13" borderId="0" xfId="0" applyFont="1" applyFill="1"/>
    <xf numFmtId="0" fontId="21" fillId="0" borderId="0" xfId="0" applyFont="1" applyAlignment="1">
      <alignment horizontal="center"/>
    </xf>
    <xf numFmtId="0" fontId="4" fillId="13" borderId="0" xfId="0" applyFont="1" applyFill="1"/>
    <xf numFmtId="0" fontId="22" fillId="0" borderId="0" xfId="0" applyFont="1" applyAlignment="1">
      <alignment horizontal="left"/>
    </xf>
    <xf numFmtId="0" fontId="23" fillId="0" borderId="0" xfId="0" applyFont="1"/>
    <xf numFmtId="0" fontId="1" fillId="0" borderId="0" xfId="0" applyFont="1" applyAlignment="1">
      <alignment horizontal="right"/>
    </xf>
    <xf numFmtId="0" fontId="2" fillId="13" borderId="0" xfId="0" applyFont="1" applyFill="1" applyAlignment="1">
      <alignment horizontal="right"/>
    </xf>
    <xf numFmtId="0" fontId="24" fillId="14" borderId="0" xfId="0" applyFont="1" applyFill="1" applyAlignment="1">
      <alignment horizontal="center"/>
    </xf>
    <xf numFmtId="0" fontId="25" fillId="15" borderId="0" xfId="0" applyFont="1" applyFill="1" applyAlignment="1">
      <alignment horizontal="center"/>
    </xf>
    <xf numFmtId="10" fontId="26" fillId="15" borderId="0" xfId="0" applyNumberFormat="1" applyFont="1" applyFill="1" applyAlignment="1">
      <alignment horizontal="center"/>
    </xf>
    <xf numFmtId="0" fontId="26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25" fillId="16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26" fillId="17" borderId="0" xfId="0" applyFont="1" applyFill="1" applyAlignment="1">
      <alignment horizontal="center"/>
    </xf>
    <xf numFmtId="0" fontId="26" fillId="18" borderId="0" xfId="0" applyFont="1" applyFill="1" applyAlignment="1">
      <alignment horizontal="center"/>
    </xf>
    <xf numFmtId="0" fontId="26" fillId="19" borderId="0" xfId="0" applyFont="1" applyFill="1" applyAlignment="1">
      <alignment horizontal="center"/>
    </xf>
    <xf numFmtId="0" fontId="26" fillId="20" borderId="0" xfId="0" applyFont="1" applyFill="1" applyAlignment="1">
      <alignment horizontal="center"/>
    </xf>
    <xf numFmtId="0" fontId="26" fillId="21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6" fillId="23" borderId="0" xfId="0" applyFont="1" applyFill="1" applyAlignment="1">
      <alignment horizontal="center"/>
    </xf>
    <xf numFmtId="0" fontId="27" fillId="24" borderId="0" xfId="0" applyFont="1" applyFill="1" applyAlignment="1">
      <alignment horizontal="center"/>
    </xf>
    <xf numFmtId="0" fontId="27" fillId="25" borderId="0" xfId="0" applyFont="1" applyFill="1" applyAlignment="1">
      <alignment horizontal="center"/>
    </xf>
    <xf numFmtId="0" fontId="27" fillId="26" borderId="0" xfId="0" applyFont="1" applyFill="1" applyAlignment="1">
      <alignment horizontal="center"/>
    </xf>
    <xf numFmtId="0" fontId="27" fillId="27" borderId="0" xfId="0" applyFont="1" applyFill="1" applyAlignment="1">
      <alignment horizontal="center"/>
    </xf>
    <xf numFmtId="0" fontId="27" fillId="28" borderId="0" xfId="0" applyFont="1" applyFill="1" applyAlignment="1">
      <alignment horizontal="center"/>
    </xf>
    <xf numFmtId="0" fontId="26" fillId="29" borderId="0" xfId="0" applyFont="1" applyFill="1" applyAlignment="1">
      <alignment horizontal="center"/>
    </xf>
    <xf numFmtId="0" fontId="26" fillId="30" borderId="0" xfId="0" applyFont="1" applyFill="1" applyAlignment="1">
      <alignment horizontal="center"/>
    </xf>
    <xf numFmtId="0" fontId="26" fillId="31" borderId="0" xfId="0" applyFont="1" applyFill="1" applyAlignment="1">
      <alignment horizontal="center"/>
    </xf>
    <xf numFmtId="0" fontId="26" fillId="32" borderId="0" xfId="0" applyFont="1" applyFill="1" applyAlignment="1">
      <alignment horizontal="center"/>
    </xf>
    <xf numFmtId="0" fontId="26" fillId="33" borderId="0" xfId="0" applyFont="1" applyFill="1" applyAlignment="1">
      <alignment horizontal="center"/>
    </xf>
    <xf numFmtId="0" fontId="25" fillId="34" borderId="0" xfId="0" applyFont="1" applyFill="1" applyAlignment="1">
      <alignment horizontal="center"/>
    </xf>
    <xf numFmtId="0" fontId="26" fillId="35" borderId="0" xfId="0" applyFont="1" applyFill="1" applyAlignment="1">
      <alignment horizontal="center"/>
    </xf>
    <xf numFmtId="0" fontId="27" fillId="36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38" borderId="0" xfId="0" applyFont="1" applyFill="1" applyAlignment="1">
      <alignment horizontal="center"/>
    </xf>
    <xf numFmtId="0" fontId="27" fillId="39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26" fillId="42" borderId="0" xfId="0" applyFont="1" applyFill="1" applyAlignment="1">
      <alignment horizontal="center"/>
    </xf>
    <xf numFmtId="0" fontId="26" fillId="43" borderId="0" xfId="0" applyFont="1" applyFill="1" applyAlignment="1">
      <alignment horizontal="center"/>
    </xf>
    <xf numFmtId="0" fontId="26" fillId="44" borderId="0" xfId="0" applyFont="1" applyFill="1" applyAlignment="1">
      <alignment horizontal="center"/>
    </xf>
    <xf numFmtId="0" fontId="25" fillId="45" borderId="0" xfId="0" applyFont="1" applyFill="1" applyAlignment="1">
      <alignment horizontal="center"/>
    </xf>
    <xf numFmtId="0" fontId="26" fillId="46" borderId="0" xfId="0" applyFont="1" applyFill="1" applyAlignment="1">
      <alignment horizontal="center"/>
    </xf>
    <xf numFmtId="0" fontId="27" fillId="47" borderId="0" xfId="0" applyFont="1" applyFill="1" applyAlignment="1">
      <alignment horizontal="center"/>
    </xf>
    <xf numFmtId="0" fontId="27" fillId="48" borderId="0" xfId="0" applyFont="1" applyFill="1" applyAlignment="1">
      <alignment horizontal="center"/>
    </xf>
    <xf numFmtId="0" fontId="27" fillId="49" borderId="0" xfId="0" applyFont="1" applyFill="1" applyAlignment="1">
      <alignment horizontal="center"/>
    </xf>
    <xf numFmtId="0" fontId="26" fillId="50" borderId="0" xfId="0" applyFont="1" applyFill="1" applyAlignment="1">
      <alignment horizontal="center"/>
    </xf>
    <xf numFmtId="0" fontId="26" fillId="51" borderId="0" xfId="0" applyFont="1" applyFill="1" applyAlignment="1">
      <alignment horizontal="center"/>
    </xf>
    <xf numFmtId="0" fontId="26" fillId="52" borderId="0" xfId="0" applyFont="1" applyFill="1" applyAlignment="1">
      <alignment horizontal="center"/>
    </xf>
    <xf numFmtId="0" fontId="26" fillId="53" borderId="0" xfId="0" applyFont="1" applyFill="1" applyAlignment="1">
      <alignment horizontal="center"/>
    </xf>
    <xf numFmtId="0" fontId="26" fillId="54" borderId="0" xfId="0" applyFont="1" applyFill="1" applyAlignment="1">
      <alignment horizontal="center"/>
    </xf>
    <xf numFmtId="0" fontId="25" fillId="55" borderId="0" xfId="0" applyFont="1" applyFill="1" applyAlignment="1">
      <alignment horizontal="center"/>
    </xf>
    <xf numFmtId="0" fontId="26" fillId="56" borderId="0" xfId="0" applyFont="1" applyFill="1" applyAlignment="1">
      <alignment horizontal="center"/>
    </xf>
    <xf numFmtId="0" fontId="27" fillId="51" borderId="0" xfId="0" applyFont="1" applyFill="1" applyAlignment="1">
      <alignment horizontal="center"/>
    </xf>
    <xf numFmtId="0" fontId="27" fillId="57" borderId="0" xfId="0" applyFont="1" applyFill="1" applyAlignment="1">
      <alignment horizontal="center"/>
    </xf>
    <xf numFmtId="0" fontId="27" fillId="58" borderId="0" xfId="0" applyFont="1" applyFill="1" applyAlignment="1">
      <alignment horizontal="center"/>
    </xf>
    <xf numFmtId="0" fontId="26" fillId="59" borderId="0" xfId="0" applyFont="1" applyFill="1" applyAlignment="1">
      <alignment horizontal="center"/>
    </xf>
    <xf numFmtId="0" fontId="26" fillId="60" borderId="0" xfId="0" applyFont="1" applyFill="1" applyAlignment="1">
      <alignment horizontal="center"/>
    </xf>
    <xf numFmtId="0" fontId="26" fillId="61" borderId="0" xfId="0" applyFont="1" applyFill="1" applyAlignment="1">
      <alignment horizontal="center"/>
    </xf>
    <xf numFmtId="0" fontId="26" fillId="62" borderId="0" xfId="0" applyFont="1" applyFill="1" applyAlignment="1">
      <alignment horizontal="center"/>
    </xf>
    <xf numFmtId="0" fontId="25" fillId="63" borderId="0" xfId="0" applyFont="1" applyFill="1" applyAlignment="1">
      <alignment horizontal="center"/>
    </xf>
    <xf numFmtId="0" fontId="26" fillId="64" borderId="0" xfId="0" applyFont="1" applyFill="1" applyAlignment="1">
      <alignment horizontal="center"/>
    </xf>
    <xf numFmtId="0" fontId="27" fillId="6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26" fillId="70" borderId="0" xfId="0" applyFont="1" applyFill="1" applyAlignment="1">
      <alignment horizontal="center"/>
    </xf>
    <xf numFmtId="0" fontId="26" fillId="71" borderId="0" xfId="0" applyFont="1" applyFill="1" applyAlignment="1">
      <alignment horizontal="center"/>
    </xf>
    <xf numFmtId="0" fontId="25" fillId="64" borderId="0" xfId="0" applyFont="1" applyFill="1" applyAlignment="1">
      <alignment horizontal="center"/>
    </xf>
    <xf numFmtId="0" fontId="26" fillId="72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74" borderId="0" xfId="0" applyFont="1" applyFill="1" applyAlignment="1">
      <alignment horizontal="center"/>
    </xf>
    <xf numFmtId="0" fontId="27" fillId="75" borderId="0" xfId="0" applyFont="1" applyFill="1" applyAlignment="1">
      <alignment horizontal="center"/>
    </xf>
    <xf numFmtId="0" fontId="26" fillId="76" borderId="0" xfId="0" applyFont="1" applyFill="1" applyAlignment="1">
      <alignment horizontal="center"/>
    </xf>
    <xf numFmtId="0" fontId="26" fillId="77" borderId="0" xfId="0" applyFont="1" applyFill="1" applyAlignment="1">
      <alignment horizontal="center"/>
    </xf>
    <xf numFmtId="0" fontId="26" fillId="78" borderId="0" xfId="0" applyFont="1" applyFill="1" applyAlignment="1">
      <alignment horizont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25" fillId="81" borderId="0" xfId="0" applyFont="1" applyFill="1" applyAlignment="1">
      <alignment horizontal="center"/>
    </xf>
    <xf numFmtId="0" fontId="26" fillId="82" borderId="0" xfId="0" applyFont="1" applyFill="1" applyAlignment="1">
      <alignment horizontal="center"/>
    </xf>
    <xf numFmtId="0" fontId="27" fillId="55" borderId="0" xfId="0" applyFont="1" applyFill="1" applyAlignment="1">
      <alignment horizontal="center"/>
    </xf>
    <xf numFmtId="0" fontId="27" fillId="83" borderId="0" xfId="0" applyFont="1" applyFill="1" applyAlignment="1">
      <alignment horizontal="center"/>
    </xf>
    <xf numFmtId="0" fontId="27" fillId="84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6" fillId="86" borderId="0" xfId="0" applyFont="1" applyFill="1" applyAlignment="1">
      <alignment horizontal="center"/>
    </xf>
    <xf numFmtId="0" fontId="26" fillId="38" borderId="0" xfId="0" applyFont="1" applyFill="1" applyAlignment="1">
      <alignment horizontal="center"/>
    </xf>
    <xf numFmtId="0" fontId="26" fillId="87" borderId="0" xfId="0" applyFont="1" applyFill="1" applyAlignment="1">
      <alignment horizontal="center"/>
    </xf>
    <xf numFmtId="0" fontId="26" fillId="88" borderId="0" xfId="0" applyFont="1" applyFill="1" applyAlignment="1">
      <alignment horizontal="center"/>
    </xf>
    <xf numFmtId="0" fontId="26" fillId="24" borderId="0" xfId="0" applyFont="1" applyFill="1" applyAlignment="1">
      <alignment horizontal="center"/>
    </xf>
    <xf numFmtId="0" fontId="25" fillId="89" borderId="0" xfId="0" applyFont="1" applyFill="1" applyAlignment="1">
      <alignment horizontal="center"/>
    </xf>
    <xf numFmtId="0" fontId="27" fillId="90" borderId="0" xfId="0" applyFont="1" applyFill="1" applyAlignment="1">
      <alignment horizontal="center"/>
    </xf>
    <xf numFmtId="0" fontId="27" fillId="91" borderId="0" xfId="0" applyFont="1" applyFill="1" applyAlignment="1">
      <alignment horizontal="center"/>
    </xf>
    <xf numFmtId="0" fontId="26" fillId="92" borderId="0" xfId="0" applyFont="1" applyFill="1" applyAlignment="1">
      <alignment horizontal="center"/>
    </xf>
    <xf numFmtId="0" fontId="26" fillId="93" borderId="0" xfId="0" applyFont="1" applyFill="1" applyAlignment="1">
      <alignment horizontal="center"/>
    </xf>
    <xf numFmtId="0" fontId="26" fillId="94" borderId="0" xfId="0" applyFont="1" applyFill="1" applyAlignment="1">
      <alignment horizontal="center"/>
    </xf>
    <xf numFmtId="0" fontId="26" fillId="95" borderId="0" xfId="0" applyFont="1" applyFill="1" applyAlignment="1">
      <alignment horizontal="center"/>
    </xf>
    <xf numFmtId="0" fontId="25" fillId="96" borderId="0" xfId="0" applyFont="1" applyFill="1" applyAlignment="1">
      <alignment horizontal="center"/>
    </xf>
    <xf numFmtId="0" fontId="27" fillId="97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92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5" fillId="100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" fillId="101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26" fillId="116" borderId="0" xfId="0" applyFont="1" applyFill="1" applyAlignment="1">
      <alignment horizontal="center"/>
    </xf>
    <xf numFmtId="0" fontId="26" fillId="117" borderId="0" xfId="0" applyFont="1" applyFill="1" applyAlignment="1">
      <alignment horizontal="center"/>
    </xf>
    <xf numFmtId="0" fontId="26" fillId="118" borderId="0" xfId="0" applyFont="1" applyFill="1" applyAlignment="1">
      <alignment horizontal="center"/>
    </xf>
    <xf numFmtId="0" fontId="25" fillId="19" borderId="0" xfId="0" applyFont="1" applyFill="1" applyAlignment="1">
      <alignment horizontal="center"/>
    </xf>
    <xf numFmtId="0" fontId="26" fillId="119" borderId="0" xfId="0" applyFont="1" applyFill="1" applyAlignment="1">
      <alignment horizontal="center"/>
    </xf>
    <xf numFmtId="0" fontId="27" fillId="120" borderId="0" xfId="0" applyFont="1" applyFill="1" applyAlignment="1">
      <alignment horizontal="center"/>
    </xf>
    <xf numFmtId="0" fontId="27" fillId="93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5" fillId="56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7" fillId="9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6" fillId="90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5" fillId="44" borderId="0" xfId="0" applyFont="1" applyFill="1" applyAlignment="1">
      <alignment horizontal="center"/>
    </xf>
    <xf numFmtId="0" fontId="27" fillId="72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5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5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45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6" fillId="3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5" fillId="169" borderId="0" xfId="0" applyFont="1" applyFill="1" applyAlignment="1">
      <alignment horizontal="center"/>
    </xf>
    <xf numFmtId="0" fontId="26" fillId="25" borderId="0" xfId="0" applyFont="1" applyFill="1" applyAlignment="1">
      <alignment horizontal="center"/>
    </xf>
    <xf numFmtId="0" fontId="27" fillId="170" borderId="0" xfId="0" applyFont="1" applyFill="1" applyAlignment="1">
      <alignment horizontal="center"/>
    </xf>
    <xf numFmtId="0" fontId="27" fillId="69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6" fillId="96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72" borderId="0" xfId="0" applyFont="1" applyFill="1" applyAlignment="1">
      <alignment horizontal="center"/>
    </xf>
    <xf numFmtId="0" fontId="26" fillId="173" borderId="0" xfId="0" applyFont="1" applyFill="1" applyAlignment="1">
      <alignment horizontal="center"/>
    </xf>
    <xf numFmtId="0" fontId="25" fillId="174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17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6" fillId="177" borderId="0" xfId="0" applyFont="1" applyFill="1" applyAlignment="1">
      <alignment horizontal="center"/>
    </xf>
    <xf numFmtId="0" fontId="26" fillId="178" borderId="0" xfId="0" applyFont="1" applyFill="1" applyAlignment="1">
      <alignment horizontal="center"/>
    </xf>
    <xf numFmtId="0" fontId="26" fillId="179" borderId="0" xfId="0" applyFont="1" applyFill="1" applyAlignment="1">
      <alignment horizontal="center"/>
    </xf>
    <xf numFmtId="0" fontId="26" fillId="180" borderId="0" xfId="0" applyFont="1" applyFill="1" applyAlignment="1">
      <alignment horizontal="center"/>
    </xf>
    <xf numFmtId="0" fontId="25" fillId="181" borderId="0" xfId="0" applyFont="1" applyFill="1" applyAlignment="1">
      <alignment horizontal="center"/>
    </xf>
    <xf numFmtId="0" fontId="26" fillId="182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64" borderId="0" xfId="0" applyFont="1" applyFill="1" applyAlignment="1">
      <alignment horizont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26" fillId="186" borderId="0" xfId="0" applyFont="1" applyFill="1" applyAlignment="1">
      <alignment horizontal="center"/>
    </xf>
    <xf numFmtId="0" fontId="25" fillId="187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94" borderId="0" xfId="0" applyFont="1" applyFill="1" applyAlignment="1">
      <alignment horizontal="center"/>
    </xf>
    <xf numFmtId="0" fontId="27" fillId="86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6" fillId="121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26" fillId="85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5" fillId="28" borderId="0" xfId="0" applyFont="1" applyFill="1" applyAlignment="1">
      <alignment horizontal="center"/>
    </xf>
    <xf numFmtId="0" fontId="26" fillId="63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/>
    <xf numFmtId="0" fontId="24" fillId="14" borderId="0" xfId="0" applyFont="1" applyFill="1" applyAlignment="1">
      <alignment horizontal="center"/>
    </xf>
    <xf numFmtId="0" fontId="2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65"/>
  <sheetViews>
    <sheetView tabSelected="1" topLeftCell="A100" workbookViewId="0">
      <selection activeCell="L116" sqref="L116"/>
    </sheetView>
  </sheetViews>
  <sheetFormatPr defaultColWidth="12.6640625" defaultRowHeight="15.75" customHeight="1"/>
  <cols>
    <col min="2" max="2" width="28.33203125" customWidth="1"/>
  </cols>
  <sheetData>
    <row r="1" spans="1:28">
      <c r="A1" s="1" t="s">
        <v>0</v>
      </c>
      <c r="B1" s="1" t="s">
        <v>1</v>
      </c>
      <c r="I1" s="2"/>
      <c r="J1" s="2"/>
      <c r="K1" s="2"/>
      <c r="N1" s="2"/>
    </row>
    <row r="2" spans="1:28">
      <c r="C2" s="1" t="s">
        <v>2</v>
      </c>
      <c r="D2" s="1" t="s">
        <v>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  <c r="O2" s="1" t="s">
        <v>13</v>
      </c>
    </row>
    <row r="3" spans="1:28">
      <c r="B3" s="1" t="s">
        <v>14</v>
      </c>
      <c r="C3" s="1">
        <v>4.8449999999999998</v>
      </c>
      <c r="D3" s="1">
        <v>7.5350000000000001</v>
      </c>
      <c r="F3" s="1">
        <v>0.50900000000000001</v>
      </c>
      <c r="G3" s="1">
        <v>0.80200000000000005</v>
      </c>
      <c r="H3" s="1">
        <v>0.83699999999999997</v>
      </c>
      <c r="I3" s="2">
        <v>0.61099999999999999</v>
      </c>
      <c r="J3" s="2">
        <v>0.753</v>
      </c>
      <c r="K3" s="2">
        <v>0.35199999999999998</v>
      </c>
      <c r="L3" s="1">
        <v>0.8</v>
      </c>
      <c r="M3" s="1">
        <v>0.68600000000000005</v>
      </c>
      <c r="N3" s="2">
        <v>0.74299999999999999</v>
      </c>
      <c r="O3" s="1">
        <f t="shared" ref="O3:O5" si="0">AVERAGE(F3,G3,H3,L3,M3)</f>
        <v>0.72679999999999989</v>
      </c>
    </row>
    <row r="4" spans="1:28">
      <c r="A4" s="1" t="s">
        <v>15</v>
      </c>
      <c r="B4" s="1" t="s">
        <v>16</v>
      </c>
      <c r="C4" s="3">
        <v>4.9916999999999998</v>
      </c>
      <c r="D4" s="3">
        <v>7.8047000000000004</v>
      </c>
      <c r="E4" s="1">
        <f t="shared" ref="E4:E5" si="1">AVERAGE(C4,D4)</f>
        <v>6.3982000000000001</v>
      </c>
      <c r="F4" s="1">
        <v>0.47610000000000002</v>
      </c>
      <c r="G4" s="1">
        <v>0.78749999999999998</v>
      </c>
      <c r="H4" s="1">
        <v>0.82479999999999998</v>
      </c>
      <c r="I4" s="1">
        <v>0.60750000000000004</v>
      </c>
      <c r="J4" s="1">
        <v>0.73719999999999997</v>
      </c>
      <c r="K4" s="1">
        <v>0.35199999999999998</v>
      </c>
      <c r="L4" s="1">
        <v>0.79920000000000002</v>
      </c>
      <c r="M4" s="1">
        <v>0.6643</v>
      </c>
      <c r="N4" s="1">
        <v>0.73319999999999996</v>
      </c>
      <c r="O4" s="1">
        <f t="shared" si="0"/>
        <v>0.71038000000000001</v>
      </c>
    </row>
    <row r="5" spans="1:28">
      <c r="B5" s="1" t="s">
        <v>253</v>
      </c>
      <c r="C5" s="4">
        <v>4.9703999999999997</v>
      </c>
      <c r="D5" s="4">
        <v>7.7167000000000003</v>
      </c>
      <c r="E5" s="5">
        <f t="shared" si="1"/>
        <v>6.3435500000000005</v>
      </c>
      <c r="F5" s="5">
        <v>0.48039999999999999</v>
      </c>
      <c r="G5" s="5">
        <v>0.79339999999999999</v>
      </c>
      <c r="H5" s="1">
        <v>0.82020000000000004</v>
      </c>
      <c r="I5" s="1"/>
      <c r="J5" s="1"/>
      <c r="K5" s="1"/>
      <c r="L5" s="5">
        <v>0.8014</v>
      </c>
      <c r="M5" s="5">
        <v>0.67510000000000003</v>
      </c>
      <c r="N5" s="1"/>
      <c r="O5" s="5">
        <f t="shared" si="0"/>
        <v>0.71410000000000007</v>
      </c>
      <c r="P5" s="1"/>
      <c r="Q5" s="1"/>
    </row>
    <row r="6" spans="1:28">
      <c r="B6" s="6" t="s">
        <v>18</v>
      </c>
      <c r="C6" s="1">
        <v>4.9947999999999997</v>
      </c>
      <c r="D6" s="1">
        <v>7.7380000000000004</v>
      </c>
      <c r="E6" s="1">
        <v>6.3664000000000005</v>
      </c>
      <c r="F6" s="1">
        <v>0.47439999999999999</v>
      </c>
      <c r="G6" s="1">
        <v>0.78871999999999998</v>
      </c>
      <c r="H6" s="1">
        <v>0.82752000000000003</v>
      </c>
      <c r="L6" s="1">
        <v>0.79869000000000001</v>
      </c>
      <c r="M6" s="1">
        <v>0.66064999999999996</v>
      </c>
      <c r="O6" s="1">
        <v>0.70999600000000007</v>
      </c>
    </row>
    <row r="7" spans="1:28">
      <c r="B7" s="1"/>
      <c r="C7" s="1"/>
      <c r="D7" s="1"/>
      <c r="F7" s="1"/>
      <c r="G7" s="1"/>
      <c r="H7" s="1"/>
      <c r="I7" s="2"/>
      <c r="J7" s="2"/>
      <c r="K7" s="2"/>
      <c r="L7" s="1"/>
      <c r="M7" s="1"/>
      <c r="N7" s="2"/>
    </row>
    <row r="8" spans="1:28">
      <c r="B8" s="7" t="s">
        <v>19</v>
      </c>
      <c r="C8" s="1">
        <v>4.9749999999999996</v>
      </c>
      <c r="D8" s="1">
        <v>7.7270000000000003</v>
      </c>
      <c r="F8" s="1">
        <v>0.49299999999999999</v>
      </c>
      <c r="G8" s="1">
        <v>0.79400000000000004</v>
      </c>
      <c r="H8" s="1">
        <v>0.81699999999999995</v>
      </c>
      <c r="I8" s="2">
        <v>0.60099999999999998</v>
      </c>
      <c r="J8" s="2">
        <v>0.73499999999999999</v>
      </c>
      <c r="K8" s="2">
        <v>0.34</v>
      </c>
      <c r="L8" s="1">
        <v>0.79700000000000004</v>
      </c>
      <c r="M8" s="1">
        <v>0.67100000000000004</v>
      </c>
      <c r="N8" s="2">
        <v>0.73099999999999998</v>
      </c>
      <c r="O8" s="1">
        <f t="shared" ref="O8:O10" si="2">AVERAGE(F8,G8,H8,L8,M8)</f>
        <v>0.71440000000000003</v>
      </c>
    </row>
    <row r="9" spans="1:28">
      <c r="B9" s="6" t="s">
        <v>20</v>
      </c>
      <c r="C9" s="5">
        <v>4.9649999999999999</v>
      </c>
      <c r="D9" s="5">
        <v>7.7110000000000003</v>
      </c>
      <c r="F9" s="5">
        <v>0.495</v>
      </c>
      <c r="G9" s="5">
        <v>0.79500000000000004</v>
      </c>
      <c r="H9" s="5">
        <v>0.81799999999999995</v>
      </c>
      <c r="I9" s="2">
        <v>0.60099999999999998</v>
      </c>
      <c r="J9" s="8">
        <v>0.74199999999999999</v>
      </c>
      <c r="K9" s="2">
        <v>0.32600000000000001</v>
      </c>
      <c r="L9" s="5">
        <v>0.80200000000000005</v>
      </c>
      <c r="M9" s="5">
        <v>0.69</v>
      </c>
      <c r="N9" s="2">
        <v>0.73399999999999999</v>
      </c>
      <c r="O9" s="5">
        <f t="shared" si="2"/>
        <v>0.72</v>
      </c>
    </row>
    <row r="10" spans="1:28">
      <c r="B10" s="6" t="s">
        <v>18</v>
      </c>
      <c r="C10" s="1">
        <v>4.9749999999999996</v>
      </c>
      <c r="D10" s="1">
        <v>7.726</v>
      </c>
      <c r="F10" s="1">
        <v>0.49299999999999999</v>
      </c>
      <c r="G10" s="1">
        <v>0.79300000000000004</v>
      </c>
      <c r="H10" s="1">
        <v>0.81499999999999995</v>
      </c>
      <c r="I10" s="2">
        <v>0.60099999999999998</v>
      </c>
      <c r="J10" s="2">
        <v>0.73799999999999999</v>
      </c>
      <c r="K10" s="2">
        <v>0.34200000000000003</v>
      </c>
      <c r="L10" s="1">
        <v>0.79800000000000004</v>
      </c>
      <c r="M10" s="1">
        <v>0.67800000000000005</v>
      </c>
      <c r="N10" s="2">
        <v>0.73</v>
      </c>
      <c r="O10" s="9">
        <f t="shared" si="2"/>
        <v>0.71540000000000004</v>
      </c>
    </row>
    <row r="12" spans="1:28">
      <c r="B12" s="1" t="s">
        <v>21</v>
      </c>
      <c r="C12" s="1">
        <v>4.9690000000000003</v>
      </c>
      <c r="D12" s="3">
        <v>7.7777000000000003</v>
      </c>
      <c r="F12" s="1">
        <v>0.495</v>
      </c>
      <c r="G12" s="1">
        <v>0.79</v>
      </c>
      <c r="H12" s="1">
        <v>0.81799999999999995</v>
      </c>
      <c r="L12" s="1">
        <v>0.80359999999999998</v>
      </c>
      <c r="M12" s="1">
        <v>0.6895</v>
      </c>
      <c r="O12" s="9">
        <f>AVERAGE(F12,G12,H12,L12,M12)</f>
        <v>0.71921999999999997</v>
      </c>
    </row>
    <row r="13" spans="1:28">
      <c r="B13" s="1"/>
      <c r="C13" s="1"/>
      <c r="D13" s="3"/>
    </row>
    <row r="14" spans="1:28">
      <c r="O14" s="11"/>
    </row>
    <row r="15" spans="1:28">
      <c r="O15" s="11"/>
    </row>
    <row r="16" spans="1:28">
      <c r="A16" s="14"/>
      <c r="B16" s="14" t="s">
        <v>22</v>
      </c>
      <c r="C16" s="14">
        <v>4.9780000000000006</v>
      </c>
      <c r="D16" s="14">
        <v>7.7439999999999998</v>
      </c>
      <c r="E16" s="14"/>
      <c r="F16" s="15">
        <v>0.48</v>
      </c>
      <c r="G16" s="15">
        <v>0.79500000000000004</v>
      </c>
      <c r="H16" s="15">
        <v>0.82</v>
      </c>
      <c r="I16" s="14"/>
      <c r="J16" s="14"/>
      <c r="K16" s="14"/>
      <c r="L16" s="15">
        <v>0.79800000000000004</v>
      </c>
      <c r="M16" s="15">
        <v>0.67500000000000004</v>
      </c>
      <c r="N16" s="14"/>
      <c r="O16" s="16">
        <f t="shared" ref="O16:O18" si="3">AVERAGE(F16,G16,H16,L16,M16)</f>
        <v>0.7135999999999999</v>
      </c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spans="1:28">
      <c r="A17" s="14"/>
      <c r="B17" s="17" t="s">
        <v>23</v>
      </c>
      <c r="C17" s="18">
        <v>4.9670000000000005</v>
      </c>
      <c r="D17" s="18">
        <v>7.7359999999999998</v>
      </c>
      <c r="E17" s="14"/>
      <c r="F17" s="19">
        <v>0.48299999999999998</v>
      </c>
      <c r="G17" s="19">
        <v>0.79600000000000004</v>
      </c>
      <c r="H17" s="19">
        <v>0.82099999999999995</v>
      </c>
      <c r="I17" s="14"/>
      <c r="J17" s="14"/>
      <c r="K17" s="14"/>
      <c r="L17" s="19">
        <v>0.8</v>
      </c>
      <c r="M17" s="19">
        <v>0.67800000000000005</v>
      </c>
      <c r="N17" s="14"/>
      <c r="O17" s="16">
        <f t="shared" si="3"/>
        <v>0.7155999999999999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>
      <c r="A18" s="14"/>
      <c r="B18" s="17" t="s">
        <v>18</v>
      </c>
      <c r="C18" s="14">
        <v>4.9790000000000001</v>
      </c>
      <c r="D18" s="14">
        <v>7.7450000000000001</v>
      </c>
      <c r="E18" s="14"/>
      <c r="F18" s="15">
        <v>0.48</v>
      </c>
      <c r="G18" s="15">
        <v>0.79500000000000004</v>
      </c>
      <c r="H18" s="15">
        <v>0.81899999999999995</v>
      </c>
      <c r="I18" s="14"/>
      <c r="J18" s="14"/>
      <c r="K18" s="14"/>
      <c r="L18" s="15">
        <v>0.79800000000000004</v>
      </c>
      <c r="M18" s="15">
        <v>0.67500000000000004</v>
      </c>
      <c r="N18" s="14"/>
      <c r="O18" s="16">
        <f t="shared" si="3"/>
        <v>0.71340000000000003</v>
      </c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20" spans="1:28">
      <c r="B20" s="1" t="s">
        <v>25</v>
      </c>
      <c r="C20" s="1">
        <v>5.0720000000000001</v>
      </c>
      <c r="D20" s="1">
        <v>7.8540000000000001</v>
      </c>
      <c r="F20" s="1">
        <v>0.48299999999999998</v>
      </c>
      <c r="G20" s="1">
        <v>0.79400000000000004</v>
      </c>
      <c r="H20" s="1">
        <v>0.82899999999999996</v>
      </c>
      <c r="I20" s="2"/>
      <c r="J20" s="2"/>
      <c r="K20" s="2"/>
      <c r="L20" s="1">
        <v>0.79400000000000004</v>
      </c>
      <c r="M20" s="1">
        <v>0.66</v>
      </c>
      <c r="N20" s="2"/>
      <c r="O20" s="1">
        <f t="shared" ref="O20:O22" si="4">AVERAGE(F20,G20,H20,L20,M20)</f>
        <v>0.71199999999999997</v>
      </c>
    </row>
    <row r="21" spans="1:28">
      <c r="B21" s="6" t="s">
        <v>26</v>
      </c>
      <c r="C21" s="5">
        <v>5.0659999999999998</v>
      </c>
      <c r="D21" s="5">
        <v>7.8470000000000004</v>
      </c>
      <c r="F21" s="5">
        <v>0.49099999999999999</v>
      </c>
      <c r="G21" s="1">
        <v>0.79300000000000004</v>
      </c>
      <c r="H21" s="5">
        <v>0.83</v>
      </c>
      <c r="I21" s="2"/>
      <c r="J21" s="2"/>
      <c r="K21" s="2"/>
      <c r="L21" s="5">
        <v>0.79700000000000004</v>
      </c>
      <c r="M21" s="5">
        <v>0.67500000000000004</v>
      </c>
      <c r="N21" s="2"/>
      <c r="O21" s="5">
        <f t="shared" si="4"/>
        <v>0.71720000000000006</v>
      </c>
    </row>
    <row r="22" spans="1:28">
      <c r="B22" s="6" t="s">
        <v>18</v>
      </c>
      <c r="C22" s="1">
        <v>5.0730000000000004</v>
      </c>
      <c r="D22" s="1">
        <v>7.851</v>
      </c>
      <c r="F22" s="1">
        <v>0.46800000000000003</v>
      </c>
      <c r="G22" s="1">
        <v>0.78700000000000003</v>
      </c>
      <c r="H22" s="1">
        <v>0.82499999999999996</v>
      </c>
      <c r="I22" s="2"/>
      <c r="J22" s="2"/>
      <c r="K22" s="2"/>
      <c r="L22" s="1">
        <v>0.79500000000000004</v>
      </c>
      <c r="M22" s="1">
        <v>0.65300000000000002</v>
      </c>
      <c r="N22" s="2"/>
      <c r="O22" s="1">
        <f t="shared" si="4"/>
        <v>0.7056</v>
      </c>
    </row>
    <row r="23" spans="1:28">
      <c r="I23" s="2"/>
      <c r="J23" s="2"/>
      <c r="K23" s="2"/>
      <c r="N23" s="2"/>
    </row>
    <row r="24" spans="1:28">
      <c r="I24" s="2"/>
      <c r="J24" s="2"/>
      <c r="K24" s="2"/>
      <c r="M24" s="5"/>
      <c r="N24" s="2"/>
    </row>
    <row r="25" spans="1:28">
      <c r="I25" s="2"/>
      <c r="J25" s="2"/>
      <c r="K25" s="2"/>
      <c r="N25" s="2"/>
    </row>
    <row r="26" spans="1:28">
      <c r="B26" s="1" t="s">
        <v>14</v>
      </c>
      <c r="C26" s="1">
        <v>5.5220000000000002</v>
      </c>
      <c r="D26" s="1">
        <v>8.4090000000000007</v>
      </c>
      <c r="F26" s="1">
        <v>0.52200000000000002</v>
      </c>
      <c r="G26" s="1">
        <v>0.82199999999999995</v>
      </c>
      <c r="H26" s="1">
        <v>0.83</v>
      </c>
      <c r="I26" s="2">
        <v>0.60699999999999998</v>
      </c>
      <c r="J26" s="2">
        <v>0.751</v>
      </c>
      <c r="K26" s="2">
        <v>0.34</v>
      </c>
      <c r="L26" s="1">
        <v>0.79100000000000004</v>
      </c>
      <c r="M26" s="1">
        <v>0.71099999999999997</v>
      </c>
      <c r="N26" s="2">
        <v>0.746</v>
      </c>
      <c r="O26" s="1">
        <f>AVERAGE(F26,G26,H26,L26,M26)</f>
        <v>0.73519999999999996</v>
      </c>
    </row>
    <row r="27" spans="1:28">
      <c r="A27" s="7" t="s">
        <v>27</v>
      </c>
      <c r="B27" s="1" t="s">
        <v>16</v>
      </c>
      <c r="C27" s="3">
        <v>6.0247999999999999</v>
      </c>
      <c r="D27" s="3">
        <v>9.4397000000000002</v>
      </c>
      <c r="E27" s="1">
        <f>AVERAGE(C27,D27)</f>
        <v>7.7322500000000005</v>
      </c>
      <c r="F27" s="1">
        <v>0.48975999999999997</v>
      </c>
      <c r="G27" s="1">
        <v>0.80640000000000001</v>
      </c>
      <c r="H27" s="1">
        <v>0.79896</v>
      </c>
      <c r="L27" s="1">
        <v>0.78346000000000005</v>
      </c>
      <c r="M27" s="1">
        <v>0.63509000000000004</v>
      </c>
      <c r="O27" s="1">
        <v>0.71472999999999998</v>
      </c>
    </row>
    <row r="28" spans="1:28">
      <c r="A28" s="7"/>
      <c r="B28" s="1" t="s">
        <v>254</v>
      </c>
      <c r="C28" s="5">
        <v>5.9726999999999997</v>
      </c>
      <c r="D28" s="5">
        <v>9.3691999999999993</v>
      </c>
      <c r="E28" s="5">
        <v>7.6709499999999995</v>
      </c>
      <c r="F28" s="5">
        <v>0.50512000000000001</v>
      </c>
      <c r="G28" s="5">
        <v>0.80681999999999998</v>
      </c>
      <c r="H28" s="1">
        <v>0.79283999999999999</v>
      </c>
      <c r="L28" s="5">
        <v>0.78671999999999997</v>
      </c>
      <c r="M28" s="5">
        <v>0.65314000000000005</v>
      </c>
      <c r="O28" s="5">
        <v>0.72092800000000001</v>
      </c>
    </row>
    <row r="29" spans="1:28">
      <c r="A29" s="1"/>
      <c r="B29" s="6" t="s">
        <v>18</v>
      </c>
      <c r="C29" s="1">
        <v>6.0815000000000001</v>
      </c>
      <c r="D29" s="1">
        <v>9.6308000000000007</v>
      </c>
      <c r="E29" s="1">
        <v>7.8561500000000004</v>
      </c>
      <c r="F29" s="1">
        <v>0.487201</v>
      </c>
      <c r="G29" s="1">
        <v>0.80089999999999995</v>
      </c>
      <c r="H29" s="5">
        <v>0.8075</v>
      </c>
      <c r="L29" s="1">
        <v>0.78449999999999998</v>
      </c>
      <c r="M29" s="1">
        <v>0.63149999999999995</v>
      </c>
      <c r="O29" s="1">
        <v>0.71432019999999996</v>
      </c>
    </row>
    <row r="30" spans="1:28">
      <c r="A30" s="7"/>
      <c r="B30" s="7"/>
      <c r="C30" s="1"/>
      <c r="D30" s="1"/>
      <c r="F30" s="1"/>
      <c r="G30" s="1"/>
      <c r="H30" s="1"/>
      <c r="I30" s="2"/>
      <c r="J30" s="2"/>
      <c r="K30" s="2"/>
      <c r="L30" s="5"/>
      <c r="M30" s="1"/>
      <c r="N30" s="2"/>
    </row>
    <row r="31" spans="1:28">
      <c r="A31" s="7"/>
      <c r="B31" s="7"/>
      <c r="C31" s="1"/>
      <c r="D31" s="1"/>
      <c r="F31" s="1"/>
      <c r="G31" s="1"/>
      <c r="H31" s="1"/>
      <c r="I31" s="2"/>
      <c r="J31" s="2"/>
      <c r="K31" s="2"/>
      <c r="L31" s="5"/>
      <c r="M31" s="1"/>
      <c r="N31" s="2"/>
    </row>
    <row r="32" spans="1:28">
      <c r="A32" s="7"/>
      <c r="B32" s="7"/>
      <c r="C32" s="1"/>
      <c r="D32" s="1"/>
      <c r="F32" s="1"/>
      <c r="G32" s="1"/>
      <c r="H32" s="1"/>
      <c r="I32" s="2"/>
      <c r="J32" s="2"/>
      <c r="K32" s="2"/>
      <c r="L32" s="5"/>
      <c r="M32" s="1"/>
      <c r="N32" s="2"/>
    </row>
    <row r="33" spans="1:28">
      <c r="B33" s="7" t="s">
        <v>19</v>
      </c>
      <c r="C33" s="1">
        <v>5.968</v>
      </c>
      <c r="D33" s="1">
        <v>9.3209999999999997</v>
      </c>
      <c r="F33" s="1">
        <v>0.51100000000000001</v>
      </c>
      <c r="G33" s="1">
        <v>0.80600000000000005</v>
      </c>
      <c r="H33" s="1">
        <v>0.79400000000000004</v>
      </c>
      <c r="I33" s="2">
        <v>0.58899999999999997</v>
      </c>
      <c r="J33" s="2">
        <v>0.73899999999999999</v>
      </c>
      <c r="K33" s="2">
        <v>0.34399999999999997</v>
      </c>
      <c r="L33" s="5">
        <v>0.79800000000000004</v>
      </c>
      <c r="M33" s="1">
        <v>0.63500000000000001</v>
      </c>
      <c r="N33" s="2">
        <v>0.72399999999999998</v>
      </c>
      <c r="O33" s="1">
        <f t="shared" ref="O33:O35" si="5">AVERAGE(F33,G33,H33,L33,M33)</f>
        <v>0.7088000000000001</v>
      </c>
    </row>
    <row r="34" spans="1:28">
      <c r="A34" s="7"/>
      <c r="B34" s="21" t="s">
        <v>29</v>
      </c>
      <c r="C34" s="5">
        <v>5.9489999999999998</v>
      </c>
      <c r="D34" s="5">
        <v>9.2940000000000005</v>
      </c>
      <c r="F34" s="5">
        <v>0.51200000000000001</v>
      </c>
      <c r="G34" s="5">
        <v>0.80800000000000005</v>
      </c>
      <c r="H34" s="5">
        <v>0.79600000000000004</v>
      </c>
      <c r="I34" s="2">
        <v>0.58699999999999997</v>
      </c>
      <c r="J34" s="2">
        <v>0.73899999999999999</v>
      </c>
      <c r="K34" s="2">
        <v>0.34</v>
      </c>
      <c r="L34" s="1">
        <v>0.79600000000000004</v>
      </c>
      <c r="M34" s="5">
        <v>0.67100000000000004</v>
      </c>
      <c r="N34" s="2">
        <v>0.72599999999999998</v>
      </c>
      <c r="O34" s="5">
        <f t="shared" si="5"/>
        <v>0.71660000000000001</v>
      </c>
    </row>
    <row r="35" spans="1:28">
      <c r="B35" s="6" t="s">
        <v>18</v>
      </c>
      <c r="C35" s="1">
        <v>5.968</v>
      </c>
      <c r="D35" s="1">
        <v>9.3160000000000007</v>
      </c>
      <c r="F35" s="1">
        <v>0.50700000000000001</v>
      </c>
      <c r="G35" s="1">
        <v>0.80300000000000005</v>
      </c>
      <c r="H35" s="1">
        <v>0.79</v>
      </c>
      <c r="I35" s="2">
        <v>0.58899999999999997</v>
      </c>
      <c r="J35" s="2">
        <v>0.74199999999999999</v>
      </c>
      <c r="K35" s="2">
        <v>0.34200000000000003</v>
      </c>
      <c r="L35" s="1">
        <v>0.79600000000000004</v>
      </c>
      <c r="M35" s="1">
        <v>0.63200000000000001</v>
      </c>
      <c r="N35" s="2">
        <v>0.73199999999999998</v>
      </c>
      <c r="O35" s="1">
        <f t="shared" si="5"/>
        <v>0.7056</v>
      </c>
    </row>
    <row r="36" spans="1:28">
      <c r="I36" s="2"/>
      <c r="J36" s="2"/>
      <c r="K36" s="2"/>
      <c r="N36" s="2"/>
    </row>
    <row r="37" spans="1:28">
      <c r="I37" s="2"/>
      <c r="J37" s="2"/>
      <c r="K37" s="2"/>
      <c r="N37" s="2"/>
    </row>
    <row r="38" spans="1:28">
      <c r="C38" s="1" t="s">
        <v>30</v>
      </c>
      <c r="D38" s="1" t="s">
        <v>3</v>
      </c>
      <c r="F38" s="1" t="s">
        <v>31</v>
      </c>
      <c r="G38" s="1" t="s">
        <v>32</v>
      </c>
      <c r="H38" s="1" t="s">
        <v>6</v>
      </c>
      <c r="I38" s="2"/>
      <c r="J38" s="2"/>
      <c r="K38" s="2"/>
      <c r="L38" s="1" t="s">
        <v>10</v>
      </c>
      <c r="M38" s="1" t="s">
        <v>11</v>
      </c>
      <c r="N38" s="2"/>
      <c r="O38" s="1" t="s">
        <v>13</v>
      </c>
    </row>
    <row r="39" spans="1:28">
      <c r="A39" s="14"/>
      <c r="B39" s="14" t="s">
        <v>22</v>
      </c>
      <c r="C39" s="14">
        <v>5.9950000000000001</v>
      </c>
      <c r="D39" s="14">
        <v>9.3040000000000003</v>
      </c>
      <c r="E39" s="14"/>
      <c r="F39" s="14">
        <v>0.505</v>
      </c>
      <c r="G39" s="14">
        <v>0.80400000000000005</v>
      </c>
      <c r="H39" s="18">
        <v>0.79500000000000004</v>
      </c>
      <c r="I39" s="14"/>
      <c r="J39" s="14"/>
      <c r="K39" s="14"/>
      <c r="L39" s="14">
        <v>0.79300000000000004</v>
      </c>
      <c r="M39" s="14">
        <v>0.65100000000000002</v>
      </c>
      <c r="N39" s="14"/>
      <c r="O39" s="14">
        <f t="shared" ref="O39:O41" si="6">AVERAGE(F39,G39,H39,L39,M39)</f>
        <v>0.70960000000000001</v>
      </c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spans="1:28">
      <c r="A40" s="14" t="s">
        <v>24</v>
      </c>
      <c r="B40" s="17" t="s">
        <v>23</v>
      </c>
      <c r="C40" s="18">
        <v>5.9889999999999999</v>
      </c>
      <c r="D40" s="18">
        <v>9.3000000000000007</v>
      </c>
      <c r="E40" s="14"/>
      <c r="F40" s="18">
        <v>0.50700000000000001</v>
      </c>
      <c r="G40" s="18">
        <v>0.80600000000000005</v>
      </c>
      <c r="H40" s="14">
        <v>0.79</v>
      </c>
      <c r="I40" s="14"/>
      <c r="J40" s="14"/>
      <c r="K40" s="14"/>
      <c r="L40" s="18">
        <v>0.79700000000000004</v>
      </c>
      <c r="M40" s="18">
        <v>0.66300000000000003</v>
      </c>
      <c r="N40" s="14"/>
      <c r="O40" s="18">
        <f t="shared" si="6"/>
        <v>0.71260000000000012</v>
      </c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spans="1:28">
      <c r="A41" s="14"/>
      <c r="B41" s="17" t="s">
        <v>18</v>
      </c>
      <c r="C41" s="14">
        <v>5.992</v>
      </c>
      <c r="D41" s="14">
        <v>9.3040000000000003</v>
      </c>
      <c r="E41" s="14"/>
      <c r="F41" s="14">
        <v>0.499</v>
      </c>
      <c r="G41" s="14">
        <v>0.80300000000000005</v>
      </c>
      <c r="H41" s="14">
        <v>0.79200000000000004</v>
      </c>
      <c r="I41" s="14"/>
      <c r="J41" s="14"/>
      <c r="K41" s="14"/>
      <c r="L41" s="14">
        <v>0.79300000000000004</v>
      </c>
      <c r="M41" s="14">
        <v>0.65900000000000003</v>
      </c>
      <c r="N41" s="14"/>
      <c r="O41" s="14">
        <f t="shared" si="6"/>
        <v>0.70920000000000005</v>
      </c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spans="1:28">
      <c r="I42" s="2"/>
      <c r="J42" s="2"/>
      <c r="K42" s="2"/>
      <c r="N42" s="2"/>
    </row>
    <row r="43" spans="1:28">
      <c r="B43" s="1" t="s">
        <v>25</v>
      </c>
      <c r="C43" s="1">
        <v>6.1580000000000004</v>
      </c>
      <c r="D43" s="1">
        <v>9.8160000000000007</v>
      </c>
      <c r="F43" s="1">
        <v>0.48799999999999999</v>
      </c>
      <c r="G43" s="1">
        <v>0.79700000000000004</v>
      </c>
      <c r="H43" s="1">
        <v>0.80100000000000005</v>
      </c>
      <c r="I43" s="2">
        <v>0.58299999999999996</v>
      </c>
      <c r="J43" s="2">
        <v>0.72899999999999998</v>
      </c>
      <c r="K43" s="2">
        <v>0.33800000000000002</v>
      </c>
      <c r="L43" s="1">
        <v>0.78100000000000003</v>
      </c>
      <c r="M43" s="1">
        <v>0.65700000000000003</v>
      </c>
      <c r="N43" s="2">
        <v>0.73</v>
      </c>
      <c r="O43" s="1">
        <f t="shared" ref="O43:O45" si="7">AVERAGE(F43,G43,H43,L43,M43)</f>
        <v>0.70480000000000009</v>
      </c>
    </row>
    <row r="44" spans="1:28">
      <c r="B44" s="6" t="s">
        <v>26</v>
      </c>
      <c r="C44" s="5">
        <v>6.1470000000000002</v>
      </c>
      <c r="D44" s="5">
        <v>9.8130000000000006</v>
      </c>
      <c r="F44" s="1">
        <v>0.48699999999999999</v>
      </c>
      <c r="G44" s="5">
        <v>0.80500000000000005</v>
      </c>
      <c r="H44" s="5">
        <v>0.80900000000000005</v>
      </c>
      <c r="I44" s="2">
        <v>0.58699999999999997</v>
      </c>
      <c r="J44" s="2">
        <v>0.73199999999999998</v>
      </c>
      <c r="K44" s="2">
        <v>0.34399999999999997</v>
      </c>
      <c r="L44" s="5">
        <v>0.78700000000000003</v>
      </c>
      <c r="M44" s="5">
        <v>0.66800000000000004</v>
      </c>
      <c r="N44" s="2">
        <v>0.72699999999999998</v>
      </c>
      <c r="O44" s="5">
        <f t="shared" si="7"/>
        <v>0.71120000000000005</v>
      </c>
    </row>
    <row r="45" spans="1:28">
      <c r="B45" s="6" t="s">
        <v>18</v>
      </c>
      <c r="C45" s="1">
        <v>6.1639999999999997</v>
      </c>
      <c r="D45" s="1">
        <v>9.8409999999999993</v>
      </c>
      <c r="F45" s="1">
        <v>0.48599999999999999</v>
      </c>
      <c r="G45" s="1">
        <v>0.79300000000000004</v>
      </c>
      <c r="H45" s="1">
        <v>0.80800000000000005</v>
      </c>
      <c r="I45" s="2">
        <v>0.58299999999999996</v>
      </c>
      <c r="J45" s="2">
        <v>0.72899999999999998</v>
      </c>
      <c r="K45" s="2">
        <v>0.32</v>
      </c>
      <c r="L45" s="1">
        <v>0.78600000000000003</v>
      </c>
      <c r="M45" s="1">
        <v>0.66200000000000003</v>
      </c>
      <c r="N45" s="2">
        <v>0.72399999999999998</v>
      </c>
      <c r="O45" s="1">
        <f t="shared" si="7"/>
        <v>0.70699999999999996</v>
      </c>
    </row>
    <row r="46" spans="1:28">
      <c r="I46" s="2"/>
      <c r="J46" s="2"/>
      <c r="K46" s="2"/>
      <c r="N46" s="2"/>
    </row>
    <row r="47" spans="1:28">
      <c r="I47" s="2"/>
      <c r="J47" s="2"/>
      <c r="K47" s="2"/>
      <c r="N47" s="2"/>
    </row>
    <row r="48" spans="1:28">
      <c r="I48" s="2"/>
      <c r="J48" s="2"/>
      <c r="K48" s="2"/>
      <c r="N48" s="2"/>
    </row>
    <row r="49" spans="1:28">
      <c r="C49" t="s">
        <v>30</v>
      </c>
      <c r="D49" t="s">
        <v>3</v>
      </c>
      <c r="F49" t="s">
        <v>31</v>
      </c>
      <c r="G49" t="s">
        <v>32</v>
      </c>
      <c r="H49" t="s">
        <v>6</v>
      </c>
      <c r="I49" s="2"/>
      <c r="J49" s="2"/>
      <c r="K49" s="2"/>
      <c r="L49" t="s">
        <v>10</v>
      </c>
      <c r="M49" t="s">
        <v>11</v>
      </c>
      <c r="N49" s="2"/>
      <c r="O49" t="s">
        <v>13</v>
      </c>
    </row>
    <row r="50" spans="1:28">
      <c r="A50" s="1" t="s">
        <v>33</v>
      </c>
      <c r="B50" s="1" t="s">
        <v>14</v>
      </c>
      <c r="C50" s="1">
        <v>6.0838999999999999</v>
      </c>
      <c r="D50" s="1">
        <v>10.816599999999999</v>
      </c>
      <c r="F50" s="1">
        <v>0.47699999999999998</v>
      </c>
      <c r="G50" s="1">
        <v>0.80400000000000005</v>
      </c>
      <c r="H50" s="1">
        <v>0.84599999999999997</v>
      </c>
      <c r="I50" s="2">
        <v>0.6</v>
      </c>
      <c r="J50" s="2">
        <v>0.71899999999999997</v>
      </c>
      <c r="K50" s="2">
        <v>0.33200000000000002</v>
      </c>
      <c r="L50" s="1">
        <v>0.78700000000000003</v>
      </c>
      <c r="M50" s="1">
        <v>0.81499999999999995</v>
      </c>
      <c r="N50" s="2">
        <v>0.73</v>
      </c>
      <c r="O50" s="1">
        <f>AVERAGE(F50,G50,H50,L50,M50)</f>
        <v>0.74580000000000002</v>
      </c>
    </row>
    <row r="51" spans="1:28">
      <c r="A51" s="1"/>
      <c r="B51" s="1"/>
      <c r="C51" s="1"/>
      <c r="D51" s="1"/>
      <c r="F51" s="1"/>
      <c r="G51" s="1"/>
      <c r="H51" s="1"/>
      <c r="I51" s="2"/>
      <c r="J51" s="2"/>
      <c r="K51" s="2"/>
      <c r="L51" s="1"/>
      <c r="M51" s="1"/>
      <c r="N51" s="2"/>
    </row>
    <row r="52" spans="1:28">
      <c r="C52" s="1" t="s">
        <v>30</v>
      </c>
      <c r="D52" s="1" t="s">
        <v>3</v>
      </c>
      <c r="F52" s="1" t="s">
        <v>31</v>
      </c>
      <c r="G52" s="1" t="s">
        <v>32</v>
      </c>
      <c r="H52" s="1" t="s">
        <v>6</v>
      </c>
      <c r="I52" s="2"/>
      <c r="J52" s="2"/>
      <c r="K52" s="2"/>
      <c r="L52" s="1" t="s">
        <v>10</v>
      </c>
      <c r="M52" s="1" t="s">
        <v>11</v>
      </c>
      <c r="N52" s="2"/>
      <c r="O52" s="1" t="s">
        <v>13</v>
      </c>
    </row>
    <row r="53" spans="1:28">
      <c r="A53" s="26"/>
      <c r="B53" s="26" t="s">
        <v>35</v>
      </c>
      <c r="C53" s="26">
        <v>6.6914999999999996</v>
      </c>
      <c r="D53" s="26">
        <v>12.2029</v>
      </c>
      <c r="E53" s="26"/>
      <c r="F53" s="26">
        <v>0.45059999999999995</v>
      </c>
      <c r="G53" s="26">
        <v>0.77842</v>
      </c>
      <c r="H53" s="26">
        <v>0.83021</v>
      </c>
      <c r="I53" s="26"/>
      <c r="J53" s="26"/>
      <c r="K53" s="26"/>
      <c r="L53" s="26">
        <v>0.76619999999999999</v>
      </c>
      <c r="M53" s="26">
        <v>0.80158799999999997</v>
      </c>
      <c r="N53" s="26"/>
      <c r="O53" s="22">
        <f>AVERAGE(F53,G53,H53,L53,M53)</f>
        <v>0.72540359999999993</v>
      </c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</row>
    <row r="54" spans="1:28">
      <c r="A54" s="26" t="s">
        <v>24</v>
      </c>
      <c r="B54" s="26" t="s">
        <v>255</v>
      </c>
      <c r="C54" s="26">
        <v>6.6365999999999996</v>
      </c>
      <c r="D54" s="26">
        <v>11.8779</v>
      </c>
      <c r="E54" s="26"/>
      <c r="F54" s="26" t="e">
        <f>F53-#REF!+#REF!</f>
        <v>#REF!</v>
      </c>
      <c r="G54" s="26" t="e">
        <f>G53-#REF!+#REF!</f>
        <v>#REF!</v>
      </c>
      <c r="H54" s="26" t="e">
        <f>H53-#REF!+#REF!</f>
        <v>#REF!</v>
      </c>
      <c r="I54" s="26"/>
      <c r="J54" s="26"/>
      <c r="K54" s="26"/>
      <c r="L54" s="26" t="e">
        <f>L53-#REF!+#REF!</f>
        <v>#REF!</v>
      </c>
      <c r="M54" s="26" t="e">
        <f>M53-#REF!+#REF!</f>
        <v>#REF!</v>
      </c>
      <c r="N54" s="26"/>
      <c r="O54" s="22" t="e">
        <f t="shared" ref="O54:O55" si="8">AVERAGE(F54,G54,H54,L54,M54)</f>
        <v>#REF!</v>
      </c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</row>
    <row r="55" spans="1:28">
      <c r="A55" s="26"/>
      <c r="B55" s="25" t="s">
        <v>18</v>
      </c>
      <c r="C55" s="26" t="e">
        <f>C53-#REF!+#REF!</f>
        <v>#REF!</v>
      </c>
      <c r="D55" s="26" t="e">
        <f>D53-#REF!+#REF!</f>
        <v>#REF!</v>
      </c>
      <c r="E55" s="26"/>
      <c r="F55" s="26" t="e">
        <f>F53-#REF!+#REF!</f>
        <v>#REF!</v>
      </c>
      <c r="G55" s="26" t="e">
        <f>G53-#REF!+#REF!</f>
        <v>#REF!</v>
      </c>
      <c r="H55" s="26" t="e">
        <f>H53-#REF!+#REF!</f>
        <v>#REF!</v>
      </c>
      <c r="I55" s="26"/>
      <c r="J55" s="26"/>
      <c r="K55" s="26"/>
      <c r="L55" s="26" t="e">
        <f>L53-#REF!+#REF!</f>
        <v>#REF!</v>
      </c>
      <c r="M55" s="26" t="e">
        <f>M53-#REF!+#REF!</f>
        <v>#REF!</v>
      </c>
      <c r="N55" s="26"/>
      <c r="O55" s="22" t="e">
        <f t="shared" si="8"/>
        <v>#REF!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</row>
    <row r="56" spans="1:28">
      <c r="A56" s="1"/>
      <c r="B56" s="1"/>
      <c r="C56" s="1"/>
      <c r="D56" s="1"/>
      <c r="I56" s="2"/>
      <c r="J56" s="2"/>
      <c r="K56" s="2"/>
      <c r="N56" s="2"/>
    </row>
    <row r="57" spans="1:28">
      <c r="B57" s="1" t="s">
        <v>19</v>
      </c>
      <c r="C57" s="1">
        <v>6.4676999999999998</v>
      </c>
      <c r="D57" s="1">
        <v>11.4443</v>
      </c>
      <c r="F57" s="1">
        <v>0.46899999999999997</v>
      </c>
      <c r="G57" s="1">
        <v>0.78600000000000003</v>
      </c>
      <c r="H57" s="1">
        <v>0.84199999999999997</v>
      </c>
      <c r="I57" s="2">
        <v>0.58699999999999997</v>
      </c>
      <c r="J57" s="2">
        <v>0.70899999999999996</v>
      </c>
      <c r="K57" s="2">
        <v>0.33200000000000002</v>
      </c>
      <c r="L57" s="1">
        <v>0.78</v>
      </c>
      <c r="M57" s="1">
        <v>0.80500000000000005</v>
      </c>
      <c r="N57" s="2">
        <v>0.71599999999999997</v>
      </c>
      <c r="O57" s="1">
        <f t="shared" ref="O57:O59" si="9">AVERAGE(F57,G57,H57,L57,M57)</f>
        <v>0.73639999999999994</v>
      </c>
    </row>
    <row r="58" spans="1:28">
      <c r="B58" s="6" t="s">
        <v>36</v>
      </c>
      <c r="C58" s="5">
        <v>6.4379999999999997</v>
      </c>
      <c r="D58" s="5">
        <v>11.363</v>
      </c>
      <c r="F58" s="5">
        <v>0.47299999999999998</v>
      </c>
      <c r="G58" s="5">
        <v>0.79200000000000004</v>
      </c>
      <c r="H58" s="5">
        <v>0.84699999999999998</v>
      </c>
      <c r="I58" s="2">
        <v>0.58899999999999997</v>
      </c>
      <c r="J58" s="1">
        <v>0.70199999999999996</v>
      </c>
      <c r="K58" s="2">
        <v>0.33800000000000002</v>
      </c>
      <c r="L58" s="1">
        <v>0.78200000000000003</v>
      </c>
      <c r="M58" s="5">
        <v>0.81899999999999995</v>
      </c>
      <c r="N58" s="2">
        <v>0.72099999999999997</v>
      </c>
      <c r="O58" s="5">
        <f t="shared" si="9"/>
        <v>0.74260000000000004</v>
      </c>
    </row>
    <row r="59" spans="1:28">
      <c r="B59" s="6" t="s">
        <v>18</v>
      </c>
      <c r="C59" s="1">
        <v>6.4669999999999996</v>
      </c>
      <c r="D59" s="1">
        <v>11.45</v>
      </c>
      <c r="F59" s="1">
        <v>0.45900000000000002</v>
      </c>
      <c r="G59" s="1">
        <v>0.78700000000000003</v>
      </c>
      <c r="H59" s="1">
        <v>0.84299999999999997</v>
      </c>
      <c r="I59" s="1">
        <v>0.58799999999999997</v>
      </c>
      <c r="J59" s="2">
        <v>0.70399999999999996</v>
      </c>
      <c r="K59" s="2">
        <v>0.34</v>
      </c>
      <c r="L59" s="5">
        <v>0.78700000000000003</v>
      </c>
      <c r="M59" s="1">
        <v>0.81499999999999995</v>
      </c>
      <c r="N59" s="2">
        <v>0.71099999999999997</v>
      </c>
      <c r="O59" s="1">
        <f t="shared" si="9"/>
        <v>0.73819999999999997</v>
      </c>
    </row>
    <row r="61" spans="1:28">
      <c r="B61" s="27" t="s">
        <v>22</v>
      </c>
      <c r="C61" s="1">
        <v>6.7080000000000002</v>
      </c>
      <c r="D61" s="1">
        <v>11.539</v>
      </c>
      <c r="F61" s="1">
        <v>0.45400000000000001</v>
      </c>
      <c r="G61" s="5">
        <v>0.78100000000000003</v>
      </c>
      <c r="H61" s="1">
        <v>0.80500000000000005</v>
      </c>
      <c r="L61" s="5">
        <v>0.78</v>
      </c>
      <c r="M61" s="1">
        <v>0.76900000000000002</v>
      </c>
      <c r="O61" s="1">
        <f t="shared" ref="O61:O63" si="10">AVERAGE(F61,G61,H61,L61,M61)</f>
        <v>0.7178000000000001</v>
      </c>
    </row>
    <row r="62" spans="1:28">
      <c r="B62" s="25" t="s">
        <v>23</v>
      </c>
      <c r="C62" s="5">
        <v>6.702</v>
      </c>
      <c r="D62" s="5">
        <v>11.534000000000001</v>
      </c>
      <c r="F62" s="5">
        <v>0.45900000000000002</v>
      </c>
      <c r="G62" s="1">
        <v>0.77900000000000003</v>
      </c>
      <c r="H62" s="5">
        <v>0.81399999999999995</v>
      </c>
      <c r="L62" s="1">
        <v>0.77900000000000003</v>
      </c>
      <c r="M62" s="5">
        <v>0.78700000000000003</v>
      </c>
      <c r="O62" s="5">
        <f t="shared" si="10"/>
        <v>0.72360000000000002</v>
      </c>
    </row>
    <row r="63" spans="1:28">
      <c r="B63" s="25" t="s">
        <v>18</v>
      </c>
      <c r="C63" s="1">
        <v>6.7089999999999996</v>
      </c>
      <c r="D63" s="1">
        <v>11.538</v>
      </c>
      <c r="F63" s="1">
        <v>0.45100000000000001</v>
      </c>
      <c r="G63" s="1">
        <v>0.77900000000000003</v>
      </c>
      <c r="H63" s="1">
        <v>0.80500000000000005</v>
      </c>
      <c r="L63" s="1">
        <v>0.77800000000000002</v>
      </c>
      <c r="M63" s="1">
        <v>0.76900000000000002</v>
      </c>
      <c r="O63" s="1">
        <f t="shared" si="10"/>
        <v>0.71640000000000004</v>
      </c>
    </row>
    <row r="65" spans="1:15">
      <c r="B65" s="1" t="s">
        <v>25</v>
      </c>
      <c r="C65" s="1">
        <v>6.52</v>
      </c>
      <c r="D65" s="1">
        <v>11.394</v>
      </c>
      <c r="F65" s="1">
        <v>0.47599999999999998</v>
      </c>
      <c r="G65" s="1">
        <v>0.79300000000000004</v>
      </c>
      <c r="H65" s="1">
        <v>0.83799999999999997</v>
      </c>
      <c r="I65" s="2">
        <v>0.57899999999999996</v>
      </c>
      <c r="J65" s="2">
        <v>0.69699999999999995</v>
      </c>
      <c r="K65" s="2">
        <v>0.32</v>
      </c>
      <c r="L65" s="1">
        <v>0.78</v>
      </c>
      <c r="M65" s="1">
        <v>0.80100000000000005</v>
      </c>
      <c r="N65" s="2">
        <v>0.70599999999999996</v>
      </c>
      <c r="O65" s="1">
        <f t="shared" ref="O65:O67" si="11">AVERAGE(F65,G65,H65,L65,M65)</f>
        <v>0.73760000000000014</v>
      </c>
    </row>
    <row r="66" spans="1:15">
      <c r="B66" s="6" t="s">
        <v>37</v>
      </c>
      <c r="C66" s="5">
        <v>6.5119999999999996</v>
      </c>
      <c r="D66" s="5">
        <v>11.372</v>
      </c>
      <c r="F66" s="5">
        <v>0.48499999999999999</v>
      </c>
      <c r="G66" s="5">
        <v>0.79600000000000004</v>
      </c>
      <c r="H66" s="5">
        <v>0.84099999999999997</v>
      </c>
      <c r="I66" s="2">
        <v>0.58299999999999996</v>
      </c>
      <c r="J66" s="1">
        <v>0.69599999999999995</v>
      </c>
      <c r="K66" s="2">
        <v>0.308</v>
      </c>
      <c r="L66" s="5">
        <v>0.78800000000000003</v>
      </c>
      <c r="M66" s="5">
        <v>0.83399999999999996</v>
      </c>
      <c r="N66" s="2">
        <v>0.70799999999999996</v>
      </c>
      <c r="O66" s="5">
        <f t="shared" si="11"/>
        <v>0.74880000000000002</v>
      </c>
    </row>
    <row r="67" spans="1:15">
      <c r="B67" s="6" t="s">
        <v>18</v>
      </c>
      <c r="C67" s="1">
        <v>6.516</v>
      </c>
      <c r="D67" s="1">
        <v>11.394</v>
      </c>
      <c r="F67" s="1">
        <v>0.48199999999999998</v>
      </c>
      <c r="G67" s="1">
        <v>0.79300000000000004</v>
      </c>
      <c r="H67" s="1">
        <v>0.83899999999999997</v>
      </c>
      <c r="I67" s="2">
        <v>0.57999999999999996</v>
      </c>
      <c r="J67" s="2">
        <v>0.7</v>
      </c>
      <c r="K67" s="2">
        <v>0.308</v>
      </c>
      <c r="L67" s="1">
        <v>0.78200000000000003</v>
      </c>
      <c r="M67" s="1">
        <v>0.80100000000000005</v>
      </c>
      <c r="N67" s="2">
        <v>0.70199999999999996</v>
      </c>
      <c r="O67" s="1">
        <f t="shared" si="11"/>
        <v>0.73940000000000006</v>
      </c>
    </row>
    <row r="68" spans="1:15">
      <c r="I68" s="2"/>
      <c r="J68" s="2"/>
      <c r="K68" s="2"/>
      <c r="N68" s="2"/>
    </row>
    <row r="69" spans="1:15">
      <c r="I69" s="2"/>
      <c r="J69" s="2"/>
      <c r="K69" s="2"/>
      <c r="N69" s="2"/>
    </row>
    <row r="70" spans="1:15">
      <c r="I70" s="2"/>
      <c r="J70" s="2"/>
      <c r="K70" s="2"/>
      <c r="N70" s="2"/>
    </row>
    <row r="71" spans="1:15">
      <c r="I71" s="2"/>
      <c r="J71" s="2"/>
      <c r="K71" s="2"/>
      <c r="N71" s="2"/>
    </row>
    <row r="72" spans="1:15">
      <c r="I72" s="2"/>
      <c r="J72" s="2"/>
      <c r="K72" s="2"/>
      <c r="N72" s="2"/>
    </row>
    <row r="73" spans="1:15">
      <c r="I73" s="2"/>
      <c r="J73" s="2"/>
      <c r="K73" s="2"/>
      <c r="N73" s="2"/>
    </row>
    <row r="74" spans="1:15">
      <c r="A74" s="1" t="s">
        <v>0</v>
      </c>
      <c r="B74" s="1" t="s">
        <v>1</v>
      </c>
      <c r="I74" s="2"/>
      <c r="J74" s="2"/>
      <c r="K74" s="2"/>
      <c r="N74" s="2"/>
    </row>
    <row r="75" spans="1:15">
      <c r="C75" s="1" t="s">
        <v>2</v>
      </c>
      <c r="D75" s="1" t="s">
        <v>3</v>
      </c>
      <c r="F75" s="1" t="s">
        <v>4</v>
      </c>
      <c r="G75" s="1" t="s">
        <v>5</v>
      </c>
      <c r="H75" s="1" t="s">
        <v>6</v>
      </c>
      <c r="I75" s="2" t="s">
        <v>7</v>
      </c>
      <c r="J75" s="2" t="s">
        <v>8</v>
      </c>
      <c r="K75" s="2" t="s">
        <v>9</v>
      </c>
      <c r="L75" s="1" t="s">
        <v>10</v>
      </c>
      <c r="M75" s="1" t="s">
        <v>11</v>
      </c>
      <c r="N75" s="2" t="s">
        <v>12</v>
      </c>
      <c r="O75" s="1" t="s">
        <v>13</v>
      </c>
    </row>
    <row r="76" spans="1:15">
      <c r="B76" s="1" t="s">
        <v>14</v>
      </c>
      <c r="C76" s="1">
        <v>5.4420000000000002</v>
      </c>
      <c r="D76" s="1">
        <v>8.3460000000000001</v>
      </c>
      <c r="F76" s="1">
        <v>0.505</v>
      </c>
      <c r="G76" s="1">
        <v>0.8</v>
      </c>
      <c r="H76" s="1">
        <v>0.81299999999999994</v>
      </c>
      <c r="I76" s="2">
        <v>0.60099999999999998</v>
      </c>
      <c r="J76" s="2">
        <v>0.76</v>
      </c>
      <c r="K76" s="2">
        <v>0.34799999999999998</v>
      </c>
      <c r="L76" s="1">
        <v>0.79600000000000004</v>
      </c>
      <c r="M76" s="1">
        <v>0.69599999999999995</v>
      </c>
      <c r="N76" s="2">
        <v>0.72599999999999998</v>
      </c>
      <c r="O76" s="1">
        <f t="shared" ref="O76:O79" si="12">AVERAGE(F76,G76,H76,L76,M76)</f>
        <v>0.72200000000000009</v>
      </c>
    </row>
    <row r="77" spans="1:15">
      <c r="A77" s="7" t="s">
        <v>38</v>
      </c>
      <c r="B77" s="1" t="s">
        <v>35</v>
      </c>
      <c r="C77" s="20">
        <v>6.0571999999999999</v>
      </c>
      <c r="D77" s="14">
        <v>9.5846</v>
      </c>
      <c r="E77" s="14"/>
      <c r="F77" s="14">
        <v>0.47889999999999999</v>
      </c>
      <c r="G77" s="14">
        <v>0.78</v>
      </c>
      <c r="H77" s="14">
        <v>0.79100000000000004</v>
      </c>
      <c r="I77" s="14"/>
      <c r="J77" s="14"/>
      <c r="K77" s="14"/>
      <c r="L77" s="14">
        <v>0.78400000000000003</v>
      </c>
      <c r="M77" s="14">
        <v>0.628</v>
      </c>
      <c r="N77" s="14">
        <v>0.71109999999999995</v>
      </c>
      <c r="O77" s="14">
        <f t="shared" si="12"/>
        <v>0.69238</v>
      </c>
    </row>
    <row r="78" spans="1:15">
      <c r="B78" s="1" t="s">
        <v>256</v>
      </c>
      <c r="C78" s="18">
        <v>6.0236000000000001</v>
      </c>
      <c r="D78" s="18">
        <v>9.2523</v>
      </c>
      <c r="E78" s="18"/>
      <c r="F78" s="18">
        <v>0.49</v>
      </c>
      <c r="G78" s="14">
        <v>0.78100000000000003</v>
      </c>
      <c r="H78" s="18">
        <v>0.79600000000000004</v>
      </c>
      <c r="I78" s="14"/>
      <c r="J78" s="14"/>
      <c r="K78" s="14"/>
      <c r="L78" s="18">
        <v>0.78180000000000005</v>
      </c>
      <c r="M78" s="18">
        <v>0.66790000000000005</v>
      </c>
      <c r="N78" s="14">
        <v>0.71589999999999998</v>
      </c>
      <c r="O78" s="18">
        <f t="shared" si="12"/>
        <v>0.70334000000000008</v>
      </c>
    </row>
    <row r="79" spans="1:15">
      <c r="B79" s="6" t="s">
        <v>18</v>
      </c>
      <c r="C79" s="14">
        <v>6.0711000000000004</v>
      </c>
      <c r="D79" s="14">
        <v>9.3278999999999996</v>
      </c>
      <c r="E79" s="14"/>
      <c r="F79" s="14">
        <v>0.48060999999999998</v>
      </c>
      <c r="G79" s="18">
        <v>0.78200000000000003</v>
      </c>
      <c r="H79" s="14">
        <v>0.79400000000000004</v>
      </c>
      <c r="I79" s="14"/>
      <c r="J79" s="14"/>
      <c r="K79" s="14"/>
      <c r="L79" s="14">
        <v>0.7802</v>
      </c>
      <c r="M79" s="14">
        <v>0.63898999999999995</v>
      </c>
      <c r="N79" s="14"/>
      <c r="O79" s="14">
        <f t="shared" si="12"/>
        <v>0.69515999999999989</v>
      </c>
    </row>
    <row r="80" spans="1:15">
      <c r="B80" s="1"/>
      <c r="C80" s="1"/>
      <c r="D80" s="1"/>
      <c r="F80" s="1"/>
      <c r="G80" s="1"/>
      <c r="H80" s="1"/>
      <c r="I80" s="2"/>
      <c r="J80" s="2"/>
      <c r="K80" s="2"/>
      <c r="L80" s="1"/>
      <c r="M80" s="1"/>
      <c r="N80" s="2"/>
    </row>
    <row r="81" spans="1:28">
      <c r="B81" s="1"/>
      <c r="C81" s="1"/>
      <c r="D81" s="1"/>
      <c r="F81" s="1"/>
      <c r="G81" s="1"/>
      <c r="H81" s="1"/>
      <c r="I81" s="2"/>
      <c r="J81" s="2"/>
      <c r="K81" s="2"/>
      <c r="L81" s="1"/>
      <c r="M81" s="1"/>
      <c r="N81" s="2"/>
    </row>
    <row r="82" spans="1:28">
      <c r="B82" s="7" t="s">
        <v>19</v>
      </c>
      <c r="C82" s="1">
        <v>5.91</v>
      </c>
      <c r="D82" s="1">
        <v>9.24</v>
      </c>
      <c r="F82" s="1">
        <v>0.48799999999999999</v>
      </c>
      <c r="G82" s="1">
        <v>0.78400000000000003</v>
      </c>
      <c r="H82" s="1">
        <v>0.79500000000000004</v>
      </c>
      <c r="I82" s="2">
        <v>0.59099999999999997</v>
      </c>
      <c r="J82" s="2">
        <v>0.747</v>
      </c>
      <c r="K82" s="2">
        <v>0.34599999999999997</v>
      </c>
      <c r="L82" s="1">
        <v>0.79100000000000004</v>
      </c>
      <c r="M82" s="1">
        <v>0.64600000000000002</v>
      </c>
      <c r="N82" s="2">
        <v>0.72699999999999998</v>
      </c>
      <c r="O82" s="1">
        <f t="shared" ref="O82:O84" si="13">AVERAGE(F82,G82,H82,L82,M82)</f>
        <v>0.70079999999999998</v>
      </c>
    </row>
    <row r="83" spans="1:28">
      <c r="A83" s="7"/>
      <c r="B83" s="21" t="s">
        <v>37</v>
      </c>
      <c r="C83" s="5">
        <v>5.8849999999999998</v>
      </c>
      <c r="D83" s="5">
        <v>9.1989999999999998</v>
      </c>
      <c r="F83" s="5">
        <v>0.49299999999999999</v>
      </c>
      <c r="G83" s="5">
        <v>0.78800000000000003</v>
      </c>
      <c r="H83" s="5">
        <v>0.79900000000000004</v>
      </c>
      <c r="I83" s="2">
        <v>0.59</v>
      </c>
      <c r="J83" s="2">
        <v>0.73699999999999999</v>
      </c>
      <c r="K83" s="2">
        <v>0.33600000000000002</v>
      </c>
      <c r="L83" s="1">
        <v>0.78800000000000003</v>
      </c>
      <c r="M83" s="5">
        <v>0.67900000000000005</v>
      </c>
      <c r="N83" s="2">
        <v>0.72799999999999998</v>
      </c>
      <c r="O83" s="5">
        <f t="shared" si="13"/>
        <v>0.70940000000000014</v>
      </c>
    </row>
    <row r="84" spans="1:28">
      <c r="B84" s="6" t="s">
        <v>18</v>
      </c>
      <c r="C84" s="1">
        <v>5.9059999999999997</v>
      </c>
      <c r="D84" s="1">
        <v>9.234</v>
      </c>
      <c r="F84" s="1">
        <v>0.48899999999999999</v>
      </c>
      <c r="G84" s="1">
        <v>0.78400000000000003</v>
      </c>
      <c r="H84" s="1">
        <v>0.79600000000000004</v>
      </c>
      <c r="I84" s="2">
        <v>0.59199999999999997</v>
      </c>
      <c r="J84" s="2">
        <v>0.745</v>
      </c>
      <c r="K84" s="2">
        <v>0.33800000000000002</v>
      </c>
      <c r="L84" s="1">
        <v>0.79200000000000004</v>
      </c>
      <c r="M84" s="1">
        <v>0.61699999999999999</v>
      </c>
      <c r="N84" s="2">
        <v>0.72199999999999998</v>
      </c>
      <c r="O84" s="1">
        <f t="shared" si="13"/>
        <v>0.6956</v>
      </c>
    </row>
    <row r="85" spans="1:28">
      <c r="I85" s="2"/>
      <c r="J85" s="2"/>
      <c r="K85" s="2"/>
      <c r="N85" s="2"/>
    </row>
    <row r="86" spans="1:28">
      <c r="C86" s="1" t="s">
        <v>2</v>
      </c>
      <c r="D86" s="1" t="s">
        <v>3</v>
      </c>
      <c r="F86" s="1" t="s">
        <v>4</v>
      </c>
      <c r="G86" s="1" t="s">
        <v>5</v>
      </c>
      <c r="H86" s="1" t="s">
        <v>6</v>
      </c>
      <c r="I86" s="2" t="s">
        <v>7</v>
      </c>
      <c r="J86" s="2" t="s">
        <v>8</v>
      </c>
      <c r="K86" s="2" t="s">
        <v>9</v>
      </c>
      <c r="L86" s="1" t="s">
        <v>10</v>
      </c>
      <c r="M86" s="1" t="s">
        <v>11</v>
      </c>
      <c r="N86" s="2" t="s">
        <v>12</v>
      </c>
      <c r="O86" s="1" t="s">
        <v>13</v>
      </c>
    </row>
    <row r="87" spans="1:28">
      <c r="A87" s="14"/>
      <c r="B87" s="28" t="s">
        <v>22</v>
      </c>
      <c r="C87" s="18">
        <v>6.0110000000000001</v>
      </c>
      <c r="D87" s="14">
        <v>9.3699999999999992</v>
      </c>
      <c r="E87" s="14"/>
      <c r="F87" s="14">
        <v>0.48699999999999999</v>
      </c>
      <c r="G87" s="14">
        <v>0.78300000000000003</v>
      </c>
      <c r="H87" s="18">
        <v>0.79800000000000004</v>
      </c>
      <c r="I87" s="14"/>
      <c r="J87" s="14"/>
      <c r="K87" s="14"/>
      <c r="L87" s="18">
        <v>0.78800000000000003</v>
      </c>
      <c r="M87" s="14">
        <v>0.68899999999999995</v>
      </c>
      <c r="N87" s="14"/>
      <c r="O87" s="14">
        <f t="shared" ref="O87:O89" si="14">AVERAGE(F87,G87,H87,L87,M87)</f>
        <v>0.70899999999999996</v>
      </c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spans="1:28">
      <c r="A88" s="14" t="s">
        <v>24</v>
      </c>
      <c r="B88" s="29" t="s">
        <v>23</v>
      </c>
      <c r="C88" s="14">
        <v>6.0129999999999999</v>
      </c>
      <c r="D88" s="18">
        <v>9.3539999999999992</v>
      </c>
      <c r="E88" s="14"/>
      <c r="F88" s="18">
        <v>0.48899999999999999</v>
      </c>
      <c r="G88" s="18">
        <v>0.79</v>
      </c>
      <c r="H88" s="14">
        <v>0.79500000000000004</v>
      </c>
      <c r="I88" s="14"/>
      <c r="J88" s="14"/>
      <c r="K88" s="14"/>
      <c r="L88" s="18">
        <v>0.78800000000000003</v>
      </c>
      <c r="M88" s="18">
        <v>0.69299999999999995</v>
      </c>
      <c r="N88" s="14"/>
      <c r="O88" s="18">
        <f t="shared" si="14"/>
        <v>0.71100000000000008</v>
      </c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spans="1:28">
      <c r="A89" s="14"/>
      <c r="B89" s="29" t="s">
        <v>18</v>
      </c>
      <c r="C89" s="14">
        <v>6.0140000000000002</v>
      </c>
      <c r="D89" s="14">
        <v>9.3710000000000004</v>
      </c>
      <c r="E89" s="14"/>
      <c r="F89" s="14">
        <v>0.48599999999999999</v>
      </c>
      <c r="G89" s="14">
        <v>0.78300000000000003</v>
      </c>
      <c r="H89" s="14">
        <v>0.79500000000000004</v>
      </c>
      <c r="I89" s="14"/>
      <c r="J89" s="14"/>
      <c r="K89" s="14"/>
      <c r="L89" s="14">
        <v>0.78700000000000003</v>
      </c>
      <c r="M89" s="14">
        <v>0.68600000000000005</v>
      </c>
      <c r="N89" s="14"/>
      <c r="O89" s="14">
        <f t="shared" si="14"/>
        <v>0.70740000000000003</v>
      </c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spans="1:28">
      <c r="I90" s="2"/>
      <c r="J90" s="2"/>
      <c r="K90" s="2"/>
      <c r="N90" s="2"/>
    </row>
    <row r="91" spans="1:28">
      <c r="I91" s="2"/>
      <c r="J91" s="2"/>
      <c r="K91" s="2"/>
      <c r="N91" s="2"/>
    </row>
    <row r="92" spans="1:28">
      <c r="B92" s="1" t="s">
        <v>40</v>
      </c>
      <c r="C92" s="1">
        <v>6.1130000000000004</v>
      </c>
      <c r="D92" s="1">
        <v>9.7720000000000002</v>
      </c>
      <c r="F92" s="1">
        <v>0.47099999999999997</v>
      </c>
      <c r="G92" s="1">
        <v>0.77700000000000002</v>
      </c>
      <c r="H92" s="1">
        <v>0.79600000000000004</v>
      </c>
      <c r="I92" s="2">
        <v>0.58099999999999996</v>
      </c>
      <c r="J92" s="2">
        <v>0.73599999999999999</v>
      </c>
      <c r="K92" s="2">
        <v>0.32400000000000001</v>
      </c>
      <c r="L92" s="1">
        <v>0.77600000000000002</v>
      </c>
      <c r="M92" s="1">
        <v>0.67800000000000005</v>
      </c>
      <c r="N92" s="2">
        <v>0.72699999999999998</v>
      </c>
      <c r="O92" s="1">
        <f t="shared" ref="O92:O94" si="15">AVERAGE(F92,G92,H92,L92,M92)</f>
        <v>0.6996</v>
      </c>
    </row>
    <row r="93" spans="1:28">
      <c r="B93" s="6" t="s">
        <v>41</v>
      </c>
      <c r="C93" s="5">
        <v>6.1050000000000004</v>
      </c>
      <c r="D93" s="5">
        <v>9.7469999999999999</v>
      </c>
      <c r="F93" s="5">
        <v>0.47299999999999998</v>
      </c>
      <c r="G93" s="5">
        <v>0.78200000000000003</v>
      </c>
      <c r="H93" s="1">
        <v>0.79400000000000004</v>
      </c>
      <c r="I93" s="2">
        <v>0.58099999999999996</v>
      </c>
      <c r="J93" s="2">
        <v>0.74</v>
      </c>
      <c r="K93" s="2">
        <v>0.33600000000000002</v>
      </c>
      <c r="L93" s="5">
        <v>0.78800000000000003</v>
      </c>
      <c r="M93" s="5">
        <v>0.68600000000000005</v>
      </c>
      <c r="N93" s="2"/>
      <c r="O93" s="5">
        <f t="shared" si="15"/>
        <v>0.70459999999999989</v>
      </c>
    </row>
    <row r="94" spans="1:28">
      <c r="B94" s="6" t="s">
        <v>18</v>
      </c>
      <c r="C94" s="1">
        <v>6.1139999999999999</v>
      </c>
      <c r="D94" s="1">
        <v>9.8010000000000002</v>
      </c>
      <c r="F94" s="1">
        <v>0.46600000000000003</v>
      </c>
      <c r="G94" s="1">
        <v>0.77300000000000002</v>
      </c>
      <c r="H94" s="5">
        <v>0.79800000000000004</v>
      </c>
      <c r="I94" s="2">
        <v>0.58299999999999996</v>
      </c>
      <c r="J94" s="2">
        <v>0.72799999999999998</v>
      </c>
      <c r="K94" s="2">
        <v>0.32</v>
      </c>
      <c r="L94" s="1">
        <v>0.77900000000000003</v>
      </c>
      <c r="M94" s="1">
        <v>0.67800000000000005</v>
      </c>
      <c r="N94" s="2">
        <v>0.72299999999999998</v>
      </c>
      <c r="O94" s="1">
        <f t="shared" si="15"/>
        <v>0.69879999999999998</v>
      </c>
    </row>
    <row r="95" spans="1:28">
      <c r="B95" s="1"/>
      <c r="C95" s="1"/>
      <c r="D95" s="1"/>
      <c r="F95" s="1"/>
      <c r="G95" s="1"/>
      <c r="H95" s="1"/>
      <c r="I95" s="2"/>
      <c r="J95" s="2"/>
      <c r="K95" s="2"/>
      <c r="L95" s="1"/>
      <c r="M95" s="1"/>
      <c r="N95" s="2"/>
      <c r="O95" s="5"/>
    </row>
    <row r="99" spans="1:17">
      <c r="B99" s="1"/>
      <c r="C99" s="1"/>
      <c r="D99" s="1"/>
      <c r="F99" s="1"/>
      <c r="G99" s="1"/>
      <c r="H99" s="1"/>
      <c r="I99" s="2"/>
      <c r="J99" s="2"/>
      <c r="K99" s="2"/>
      <c r="L99" s="1"/>
      <c r="M99" s="1"/>
      <c r="N99" s="2"/>
    </row>
    <row r="100" spans="1:17">
      <c r="B100" s="1" t="s">
        <v>14</v>
      </c>
      <c r="C100" s="1">
        <v>5.4420000000000002</v>
      </c>
      <c r="D100" s="1">
        <v>8.3460000000000001</v>
      </c>
      <c r="E100" s="1">
        <v>0.72200000000000009</v>
      </c>
      <c r="F100" s="1">
        <v>0.505</v>
      </c>
      <c r="G100" s="1">
        <v>0.8</v>
      </c>
      <c r="H100" s="1">
        <v>0.81299999999999994</v>
      </c>
      <c r="I100" s="2">
        <v>0.60099999999999998</v>
      </c>
      <c r="J100" s="2">
        <v>0.76</v>
      </c>
      <c r="K100" s="2">
        <v>0.34799999999999998</v>
      </c>
      <c r="L100" s="1">
        <v>0.79600000000000004</v>
      </c>
      <c r="M100" s="1">
        <v>0.69599999999999995</v>
      </c>
      <c r="N100" s="2">
        <v>0.72599999999999998</v>
      </c>
      <c r="O100" s="1">
        <f t="shared" ref="O100:O103" si="16">AVERAGE(F100,G100,H100,L100,M100)</f>
        <v>0.72200000000000009</v>
      </c>
    </row>
    <row r="101" spans="1:17">
      <c r="B101" s="6" t="s">
        <v>18</v>
      </c>
      <c r="C101" s="1">
        <v>5.9059999999999997</v>
      </c>
      <c r="D101" s="1">
        <v>9.234</v>
      </c>
      <c r="E101" s="1">
        <v>0.6956</v>
      </c>
      <c r="F101" s="1">
        <v>0.48899999999999999</v>
      </c>
      <c r="G101" s="1">
        <v>0.78400000000000003</v>
      </c>
      <c r="H101" s="1">
        <v>0.79600000000000004</v>
      </c>
      <c r="I101" s="2">
        <v>0.59199999999999997</v>
      </c>
      <c r="J101" s="2">
        <v>0.745</v>
      </c>
      <c r="K101" s="2">
        <v>0.33800000000000002</v>
      </c>
      <c r="L101" s="1">
        <v>0.79200000000000004</v>
      </c>
      <c r="M101" s="1">
        <v>0.61699999999999999</v>
      </c>
      <c r="N101" s="2">
        <v>0.72199999999999998</v>
      </c>
      <c r="O101" s="1">
        <f t="shared" si="16"/>
        <v>0.6956</v>
      </c>
    </row>
    <row r="102" spans="1:17">
      <c r="B102" s="6" t="s">
        <v>42</v>
      </c>
      <c r="C102" s="1">
        <v>5.8849999999999998</v>
      </c>
      <c r="D102" s="5">
        <v>9.1989999999999998</v>
      </c>
      <c r="E102" s="1">
        <v>0.70940000000000014</v>
      </c>
      <c r="F102" s="1">
        <v>0.49299999999999999</v>
      </c>
      <c r="G102" s="1">
        <v>0.78800000000000003</v>
      </c>
      <c r="H102" s="1">
        <v>0.79900000000000004</v>
      </c>
      <c r="I102" s="2">
        <v>0.59</v>
      </c>
      <c r="J102" s="2">
        <v>0.73699999999999999</v>
      </c>
      <c r="K102" s="2">
        <v>0.33600000000000002</v>
      </c>
      <c r="L102" s="1">
        <v>0.78800000000000003</v>
      </c>
      <c r="M102" s="1">
        <v>0.67900000000000005</v>
      </c>
      <c r="N102" s="8">
        <v>0.72799999999999998</v>
      </c>
      <c r="O102" s="5">
        <f t="shared" si="16"/>
        <v>0.70940000000000014</v>
      </c>
    </row>
    <row r="103" spans="1:17">
      <c r="B103" s="6" t="s">
        <v>43</v>
      </c>
      <c r="C103" s="4">
        <v>5.8280000000000003</v>
      </c>
      <c r="D103" s="3">
        <v>9.3425999999999991</v>
      </c>
      <c r="E103" s="1">
        <v>0.71677999999999997</v>
      </c>
      <c r="F103" s="5">
        <v>0.50260000000000005</v>
      </c>
      <c r="G103" s="5">
        <v>0.79710000000000003</v>
      </c>
      <c r="H103" s="5">
        <v>0.80830000000000002</v>
      </c>
      <c r="I103" s="8">
        <v>0.59770000000000001</v>
      </c>
      <c r="J103" s="8">
        <v>0.74399999999999999</v>
      </c>
      <c r="K103" s="8">
        <v>0.34799999999999998</v>
      </c>
      <c r="L103" s="5">
        <v>0.79</v>
      </c>
      <c r="M103" s="5">
        <v>0.68589999999999995</v>
      </c>
      <c r="N103" s="2">
        <v>0.7167</v>
      </c>
      <c r="O103" s="5">
        <f t="shared" si="16"/>
        <v>0.71677999999999997</v>
      </c>
    </row>
    <row r="104" spans="1:17">
      <c r="I104" s="2"/>
      <c r="J104" s="2"/>
      <c r="K104" s="2"/>
      <c r="N104" s="2"/>
    </row>
    <row r="105" spans="1:17">
      <c r="I105" s="2"/>
      <c r="J105" s="2"/>
      <c r="K105" s="2"/>
      <c r="N105" s="2"/>
    </row>
    <row r="106" spans="1:17">
      <c r="I106" s="2"/>
      <c r="J106" s="2"/>
      <c r="K106" s="2"/>
      <c r="N106" s="2"/>
    </row>
    <row r="107" spans="1:17">
      <c r="A107" s="1" t="s">
        <v>15</v>
      </c>
      <c r="B107" s="1" t="s">
        <v>16</v>
      </c>
      <c r="C107" s="3">
        <v>4.9916999999999998</v>
      </c>
      <c r="D107" s="3">
        <v>7.8047000000000004</v>
      </c>
      <c r="E107" s="1">
        <f t="shared" ref="E107:E108" si="17">AVERAGE(C107,D107)</f>
        <v>6.3982000000000001</v>
      </c>
      <c r="F107" s="1">
        <v>0.47610000000000002</v>
      </c>
      <c r="G107" s="1">
        <v>0.78749999999999998</v>
      </c>
      <c r="H107" s="1">
        <v>0.82479999999999998</v>
      </c>
      <c r="I107" s="1">
        <v>0.60750000000000004</v>
      </c>
      <c r="J107" s="1">
        <v>0.73719999999999997</v>
      </c>
      <c r="K107" s="1">
        <v>0.35199999999999998</v>
      </c>
      <c r="L107" s="1">
        <v>0.79920000000000002</v>
      </c>
      <c r="M107" s="1">
        <v>0.6643</v>
      </c>
      <c r="N107" s="1">
        <v>0.73319999999999996</v>
      </c>
      <c r="O107" s="1">
        <f t="shared" ref="O107:O108" si="18">AVERAGE(F107,G107,H107,L107,M107)</f>
        <v>0.71038000000000001</v>
      </c>
    </row>
    <row r="108" spans="1:17">
      <c r="B108" s="1" t="s">
        <v>253</v>
      </c>
      <c r="C108" s="4">
        <v>4.9703999999999997</v>
      </c>
      <c r="D108" s="4">
        <v>7.7167000000000003</v>
      </c>
      <c r="E108" s="5">
        <f t="shared" si="17"/>
        <v>6.3435500000000005</v>
      </c>
      <c r="F108" s="5">
        <v>0.48039999999999999</v>
      </c>
      <c r="G108" s="5">
        <v>0.79339999999999999</v>
      </c>
      <c r="H108" s="1">
        <v>0.82020000000000004</v>
      </c>
      <c r="I108" s="1"/>
      <c r="J108" s="1"/>
      <c r="K108" s="1"/>
      <c r="L108" s="5">
        <v>0.8014</v>
      </c>
      <c r="M108" s="5">
        <v>0.67510000000000003</v>
      </c>
      <c r="N108" s="1"/>
      <c r="O108" s="5">
        <f t="shared" si="18"/>
        <v>0.71410000000000007</v>
      </c>
      <c r="P108" s="1"/>
      <c r="Q108" s="1"/>
    </row>
    <row r="109" spans="1:17">
      <c r="B109" s="6" t="s">
        <v>18</v>
      </c>
      <c r="C109" s="1">
        <v>4.9947999999999997</v>
      </c>
      <c r="D109" s="1">
        <v>7.7380000000000004</v>
      </c>
      <c r="E109" s="1">
        <v>6.3664000000000005</v>
      </c>
      <c r="F109" s="1">
        <v>0.47439999999999999</v>
      </c>
      <c r="G109" s="1">
        <v>0.78871999999999998</v>
      </c>
      <c r="H109" s="1">
        <v>0.82752000000000003</v>
      </c>
      <c r="L109" s="1">
        <v>0.79869000000000001</v>
      </c>
      <c r="M109" s="1">
        <v>0.66064999999999996</v>
      </c>
      <c r="O109" s="1">
        <v>0.70999600000000007</v>
      </c>
    </row>
    <row r="110" spans="1:17">
      <c r="B110" s="1"/>
      <c r="C110" s="1"/>
      <c r="D110" s="1"/>
      <c r="F110" s="1"/>
      <c r="G110" s="1"/>
      <c r="H110" s="1"/>
      <c r="I110" s="2"/>
      <c r="J110" s="2"/>
      <c r="K110" s="2"/>
      <c r="L110" s="1"/>
      <c r="M110" s="1"/>
      <c r="N110" s="2"/>
    </row>
    <row r="111" spans="1:17">
      <c r="B111" s="7" t="s">
        <v>19</v>
      </c>
      <c r="C111" s="1">
        <v>4.9749999999999996</v>
      </c>
      <c r="D111" s="1">
        <v>7.7270000000000003</v>
      </c>
      <c r="F111" s="1">
        <v>0.49299999999999999</v>
      </c>
      <c r="G111" s="1">
        <v>0.79400000000000004</v>
      </c>
      <c r="H111" s="1">
        <v>0.81699999999999995</v>
      </c>
      <c r="I111" s="2"/>
      <c r="J111" s="2"/>
      <c r="K111" s="2"/>
      <c r="L111" s="1">
        <v>0.79700000000000004</v>
      </c>
      <c r="M111" s="1">
        <v>0.67100000000000004</v>
      </c>
      <c r="N111" s="2">
        <v>0.73099999999999998</v>
      </c>
      <c r="O111" s="30" t="s">
        <v>44</v>
      </c>
    </row>
    <row r="112" spans="1:17">
      <c r="B112" s="1" t="s">
        <v>45</v>
      </c>
      <c r="C112" s="1">
        <v>4.9690000000000003</v>
      </c>
      <c r="D112" s="3">
        <v>7.7777000000000003</v>
      </c>
      <c r="F112" s="1">
        <v>0.495</v>
      </c>
      <c r="G112" s="1">
        <v>0.79</v>
      </c>
      <c r="H112" s="1">
        <v>0.81799999999999995</v>
      </c>
      <c r="L112" s="5">
        <v>0.80300000000000005</v>
      </c>
      <c r="M112" s="1">
        <v>0.68899999999999995</v>
      </c>
      <c r="O112" s="30" t="s">
        <v>46</v>
      </c>
    </row>
    <row r="113" spans="2:15">
      <c r="B113" s="1" t="s">
        <v>47</v>
      </c>
      <c r="C113" s="5">
        <v>4.9589999999999996</v>
      </c>
      <c r="D113" s="3">
        <v>7.7773000000000003</v>
      </c>
      <c r="F113" s="5"/>
      <c r="G113" s="5"/>
      <c r="H113" s="5"/>
      <c r="I113" s="2"/>
      <c r="J113" s="8"/>
      <c r="K113" s="2"/>
      <c r="L113" s="1"/>
      <c r="M113" s="5"/>
      <c r="N113" s="2"/>
      <c r="O113" s="5"/>
    </row>
    <row r="114" spans="2:15">
      <c r="B114" s="1" t="s">
        <v>48</v>
      </c>
      <c r="C114" s="5">
        <v>4.9649999999999999</v>
      </c>
      <c r="D114" s="5">
        <v>7.7110000000000003</v>
      </c>
      <c r="F114" s="5">
        <v>0.495</v>
      </c>
      <c r="G114" s="5">
        <v>0.79500000000000004</v>
      </c>
      <c r="H114" s="5">
        <v>0.81799999999999995</v>
      </c>
      <c r="I114" s="2"/>
      <c r="J114" s="8"/>
      <c r="K114" s="2"/>
      <c r="L114" s="1">
        <v>0.80200000000000005</v>
      </c>
      <c r="M114" s="5">
        <v>0.69</v>
      </c>
      <c r="N114" s="2">
        <v>0.73399999999999999</v>
      </c>
      <c r="O114" s="31" t="s">
        <v>49</v>
      </c>
    </row>
    <row r="115" spans="2:15">
      <c r="I115" s="2"/>
      <c r="J115" s="2"/>
      <c r="K115" s="2"/>
      <c r="N115" s="2"/>
      <c r="O115" s="9"/>
    </row>
    <row r="118" spans="2:15">
      <c r="I118" s="2"/>
      <c r="J118" s="2"/>
      <c r="K118" s="2"/>
      <c r="N118" s="2"/>
    </row>
    <row r="119" spans="2:15">
      <c r="I119" s="2"/>
      <c r="J119" s="2"/>
      <c r="K119" s="2"/>
      <c r="N119" s="2"/>
    </row>
    <row r="120" spans="2:15">
      <c r="I120" s="2"/>
      <c r="J120" s="2"/>
      <c r="K120" s="2"/>
      <c r="N120" s="2"/>
    </row>
    <row r="121" spans="2:15">
      <c r="I121" s="2"/>
      <c r="J121" s="2"/>
      <c r="K121" s="2"/>
      <c r="N121" s="2"/>
    </row>
    <row r="122" spans="2:15">
      <c r="I122" s="2"/>
      <c r="J122" s="2"/>
      <c r="K122" s="2"/>
      <c r="N122" s="2"/>
    </row>
    <row r="123" spans="2:15">
      <c r="I123" s="2"/>
      <c r="J123" s="2"/>
      <c r="K123" s="2"/>
      <c r="N123" s="2"/>
    </row>
    <row r="124" spans="2:15">
      <c r="I124" s="2"/>
      <c r="J124" s="2"/>
      <c r="K124" s="2"/>
      <c r="N124" s="2"/>
    </row>
    <row r="125" spans="2:15">
      <c r="I125" s="2"/>
      <c r="J125" s="2"/>
      <c r="K125" s="2"/>
      <c r="N125" s="2"/>
    </row>
    <row r="126" spans="2:15">
      <c r="I126" s="2"/>
      <c r="J126" s="2"/>
      <c r="K126" s="2"/>
      <c r="N126" s="2"/>
    </row>
    <row r="127" spans="2:15">
      <c r="I127" s="2"/>
      <c r="J127" s="2"/>
      <c r="K127" s="2"/>
      <c r="N127" s="2"/>
    </row>
    <row r="128" spans="2:15">
      <c r="I128" s="2"/>
      <c r="J128" s="2"/>
      <c r="K128" s="2"/>
      <c r="N128" s="2"/>
    </row>
    <row r="129" spans="9:14">
      <c r="I129" s="2"/>
      <c r="J129" s="2"/>
      <c r="K129" s="2"/>
      <c r="N129" s="2"/>
    </row>
    <row r="130" spans="9:14">
      <c r="I130" s="2"/>
      <c r="J130" s="2"/>
      <c r="K130" s="2"/>
      <c r="N130" s="2"/>
    </row>
    <row r="131" spans="9:14">
      <c r="I131" s="2"/>
      <c r="J131" s="2"/>
      <c r="K131" s="2"/>
      <c r="N131" s="2"/>
    </row>
    <row r="132" spans="9:14">
      <c r="I132" s="2"/>
      <c r="J132" s="2"/>
      <c r="K132" s="2"/>
      <c r="N132" s="2"/>
    </row>
    <row r="133" spans="9:14">
      <c r="I133" s="2"/>
      <c r="J133" s="2"/>
      <c r="K133" s="2"/>
      <c r="N133" s="2"/>
    </row>
    <row r="134" spans="9:14">
      <c r="I134" s="2"/>
      <c r="J134" s="2"/>
      <c r="K134" s="2"/>
      <c r="N134" s="2"/>
    </row>
    <row r="135" spans="9:14">
      <c r="I135" s="2"/>
      <c r="J135" s="2"/>
      <c r="K135" s="2"/>
      <c r="N135" s="2"/>
    </row>
    <row r="136" spans="9:14">
      <c r="I136" s="2"/>
      <c r="J136" s="2"/>
      <c r="K136" s="2"/>
      <c r="N136" s="2"/>
    </row>
    <row r="137" spans="9:14">
      <c r="I137" s="2"/>
      <c r="J137" s="2"/>
      <c r="K137" s="2"/>
      <c r="N137" s="2"/>
    </row>
    <row r="138" spans="9:14">
      <c r="I138" s="2"/>
      <c r="J138" s="2"/>
      <c r="K138" s="2"/>
      <c r="N138" s="2"/>
    </row>
    <row r="139" spans="9:14">
      <c r="I139" s="2"/>
      <c r="J139" s="2"/>
      <c r="K139" s="2"/>
      <c r="N139" s="2"/>
    </row>
    <row r="140" spans="9:14">
      <c r="I140" s="2"/>
      <c r="J140" s="2"/>
      <c r="K140" s="2"/>
      <c r="N140" s="2"/>
    </row>
    <row r="141" spans="9:14">
      <c r="I141" s="2"/>
      <c r="J141" s="2"/>
      <c r="K141" s="2"/>
      <c r="N141" s="2"/>
    </row>
    <row r="142" spans="9:14">
      <c r="I142" s="2"/>
      <c r="J142" s="2"/>
      <c r="K142" s="2"/>
      <c r="N142" s="2"/>
    </row>
    <row r="143" spans="9:14">
      <c r="I143" s="2"/>
      <c r="J143" s="2"/>
      <c r="K143" s="2"/>
      <c r="N143" s="2"/>
    </row>
    <row r="144" spans="9:14">
      <c r="I144" s="2"/>
      <c r="J144" s="2"/>
      <c r="K144" s="2"/>
      <c r="N144" s="2"/>
    </row>
    <row r="145" spans="9:14">
      <c r="I145" s="2"/>
      <c r="J145" s="2"/>
      <c r="K145" s="2"/>
      <c r="N145" s="2"/>
    </row>
    <row r="146" spans="9:14">
      <c r="I146" s="2"/>
      <c r="J146" s="2"/>
      <c r="K146" s="2"/>
      <c r="N146" s="2"/>
    </row>
    <row r="147" spans="9:14">
      <c r="I147" s="2"/>
      <c r="J147" s="2"/>
      <c r="K147" s="2"/>
      <c r="N147" s="2"/>
    </row>
    <row r="148" spans="9:14">
      <c r="I148" s="2"/>
      <c r="J148" s="2"/>
      <c r="K148" s="2"/>
      <c r="N148" s="2"/>
    </row>
    <row r="149" spans="9:14">
      <c r="I149" s="2"/>
      <c r="J149" s="2"/>
      <c r="K149" s="2"/>
      <c r="N149" s="2"/>
    </row>
    <row r="150" spans="9:14">
      <c r="I150" s="2"/>
      <c r="J150" s="2"/>
      <c r="K150" s="2"/>
      <c r="N150" s="2"/>
    </row>
    <row r="151" spans="9:14">
      <c r="I151" s="2"/>
      <c r="J151" s="2"/>
      <c r="K151" s="2"/>
      <c r="N151" s="2"/>
    </row>
    <row r="152" spans="9:14">
      <c r="I152" s="2"/>
      <c r="J152" s="2"/>
      <c r="K152" s="2"/>
      <c r="N152" s="2"/>
    </row>
    <row r="153" spans="9:14">
      <c r="I153" s="2"/>
      <c r="J153" s="2"/>
      <c r="K153" s="2"/>
      <c r="N153" s="2"/>
    </row>
    <row r="154" spans="9:14">
      <c r="I154" s="2"/>
      <c r="J154" s="2"/>
      <c r="K154" s="2"/>
      <c r="N154" s="2"/>
    </row>
    <row r="155" spans="9:14">
      <c r="I155" s="2"/>
      <c r="J155" s="2"/>
      <c r="K155" s="2"/>
      <c r="N155" s="2"/>
    </row>
    <row r="156" spans="9:14">
      <c r="I156" s="2"/>
      <c r="J156" s="2"/>
      <c r="K156" s="2"/>
      <c r="N156" s="2"/>
    </row>
    <row r="157" spans="9:14">
      <c r="I157" s="2"/>
      <c r="J157" s="2"/>
      <c r="K157" s="2"/>
      <c r="N157" s="2"/>
    </row>
    <row r="158" spans="9:14">
      <c r="I158" s="2"/>
      <c r="J158" s="2"/>
      <c r="K158" s="2"/>
      <c r="N158" s="2"/>
    </row>
    <row r="159" spans="9:14">
      <c r="I159" s="2"/>
      <c r="J159" s="2"/>
      <c r="K159" s="2"/>
      <c r="N159" s="2"/>
    </row>
    <row r="160" spans="9:14">
      <c r="I160" s="2"/>
      <c r="J160" s="2"/>
      <c r="K160" s="2"/>
      <c r="N160" s="2"/>
    </row>
    <row r="161" spans="9:14">
      <c r="I161" s="2"/>
      <c r="J161" s="2"/>
      <c r="K161" s="2"/>
      <c r="N161" s="2"/>
    </row>
    <row r="162" spans="9:14">
      <c r="I162" s="2"/>
      <c r="J162" s="2"/>
      <c r="K162" s="2"/>
      <c r="N162" s="2"/>
    </row>
    <row r="163" spans="9:14">
      <c r="I163" s="2"/>
      <c r="J163" s="2"/>
      <c r="K163" s="2"/>
      <c r="N163" s="2"/>
    </row>
    <row r="164" spans="9:14">
      <c r="I164" s="2"/>
      <c r="J164" s="2"/>
      <c r="K164" s="2"/>
      <c r="N164" s="2"/>
    </row>
    <row r="165" spans="9:14">
      <c r="I165" s="2"/>
      <c r="J165" s="2"/>
      <c r="K165" s="2"/>
      <c r="N165" s="2"/>
    </row>
    <row r="166" spans="9:14">
      <c r="I166" s="2"/>
      <c r="J166" s="2"/>
      <c r="K166" s="2"/>
      <c r="N166" s="2"/>
    </row>
    <row r="167" spans="9:14">
      <c r="I167" s="2"/>
      <c r="J167" s="2"/>
      <c r="K167" s="2"/>
      <c r="N167" s="2"/>
    </row>
    <row r="168" spans="9:14">
      <c r="I168" s="2"/>
      <c r="J168" s="2"/>
      <c r="K168" s="2"/>
      <c r="N168" s="2"/>
    </row>
    <row r="169" spans="9:14">
      <c r="I169" s="2"/>
      <c r="J169" s="2"/>
      <c r="K169" s="2"/>
      <c r="N169" s="2"/>
    </row>
    <row r="170" spans="9:14">
      <c r="I170" s="2"/>
      <c r="J170" s="2"/>
      <c r="K170" s="2"/>
      <c r="N170" s="2"/>
    </row>
    <row r="171" spans="9:14">
      <c r="I171" s="2"/>
      <c r="J171" s="2"/>
      <c r="K171" s="2"/>
      <c r="N171" s="2"/>
    </row>
    <row r="172" spans="9:14">
      <c r="I172" s="2"/>
      <c r="J172" s="2"/>
      <c r="K172" s="2"/>
      <c r="N172" s="2"/>
    </row>
    <row r="173" spans="9:14">
      <c r="I173" s="2"/>
      <c r="J173" s="2"/>
      <c r="K173" s="2"/>
      <c r="N173" s="2"/>
    </row>
    <row r="174" spans="9:14">
      <c r="I174" s="2"/>
      <c r="J174" s="2"/>
      <c r="K174" s="2"/>
      <c r="N174" s="2"/>
    </row>
    <row r="175" spans="9:14">
      <c r="I175" s="2"/>
      <c r="J175" s="2"/>
      <c r="K175" s="2"/>
      <c r="N175" s="2"/>
    </row>
    <row r="176" spans="9:14">
      <c r="I176" s="2"/>
      <c r="J176" s="2"/>
      <c r="K176" s="2"/>
      <c r="N176" s="2"/>
    </row>
    <row r="177" spans="9:14">
      <c r="I177" s="2"/>
      <c r="J177" s="2"/>
      <c r="K177" s="2"/>
      <c r="N177" s="2"/>
    </row>
    <row r="178" spans="9:14">
      <c r="I178" s="2"/>
      <c r="J178" s="2"/>
      <c r="K178" s="2"/>
      <c r="N178" s="2"/>
    </row>
    <row r="179" spans="9:14">
      <c r="I179" s="2"/>
      <c r="J179" s="2"/>
      <c r="K179" s="2"/>
      <c r="N179" s="2"/>
    </row>
    <row r="180" spans="9:14">
      <c r="I180" s="2"/>
      <c r="J180" s="2"/>
      <c r="K180" s="2"/>
      <c r="N180" s="2"/>
    </row>
    <row r="181" spans="9:14">
      <c r="I181" s="2"/>
      <c r="J181" s="2"/>
      <c r="K181" s="2"/>
      <c r="N181" s="2"/>
    </row>
    <row r="182" spans="9:14">
      <c r="I182" s="2"/>
      <c r="J182" s="2"/>
      <c r="K182" s="2"/>
      <c r="N182" s="2"/>
    </row>
    <row r="183" spans="9:14">
      <c r="I183" s="2"/>
      <c r="J183" s="2"/>
      <c r="K183" s="2"/>
      <c r="N183" s="2"/>
    </row>
    <row r="184" spans="9:14">
      <c r="I184" s="2"/>
      <c r="J184" s="2"/>
      <c r="K184" s="2"/>
      <c r="N184" s="2"/>
    </row>
    <row r="185" spans="9:14">
      <c r="I185" s="2"/>
      <c r="J185" s="2"/>
      <c r="K185" s="2"/>
      <c r="N185" s="2"/>
    </row>
    <row r="186" spans="9:14">
      <c r="I186" s="2"/>
      <c r="J186" s="2"/>
      <c r="K186" s="2"/>
      <c r="N186" s="2"/>
    </row>
    <row r="187" spans="9:14">
      <c r="I187" s="2"/>
      <c r="J187" s="2"/>
      <c r="K187" s="2"/>
      <c r="N187" s="2"/>
    </row>
    <row r="188" spans="9:14">
      <c r="I188" s="2"/>
      <c r="J188" s="2"/>
      <c r="K188" s="2"/>
      <c r="N188" s="2"/>
    </row>
    <row r="189" spans="9:14">
      <c r="I189" s="2"/>
      <c r="J189" s="2"/>
      <c r="K189" s="2"/>
      <c r="N189" s="2"/>
    </row>
    <row r="190" spans="9:14">
      <c r="I190" s="2"/>
      <c r="J190" s="2"/>
      <c r="K190" s="2"/>
      <c r="N190" s="2"/>
    </row>
    <row r="191" spans="9:14">
      <c r="I191" s="2"/>
      <c r="J191" s="2"/>
      <c r="K191" s="2"/>
      <c r="N191" s="2"/>
    </row>
    <row r="192" spans="9:14">
      <c r="I192" s="2"/>
      <c r="J192" s="2"/>
      <c r="K192" s="2"/>
      <c r="N192" s="2"/>
    </row>
    <row r="193" spans="9:14">
      <c r="I193" s="2"/>
      <c r="J193" s="2"/>
      <c r="K193" s="2"/>
      <c r="N193" s="2"/>
    </row>
    <row r="194" spans="9:14">
      <c r="I194" s="2"/>
      <c r="J194" s="2"/>
      <c r="K194" s="2"/>
      <c r="N194" s="2"/>
    </row>
    <row r="195" spans="9:14">
      <c r="I195" s="2"/>
      <c r="J195" s="2"/>
      <c r="K195" s="2"/>
      <c r="N195" s="2"/>
    </row>
    <row r="196" spans="9:14">
      <c r="I196" s="2"/>
      <c r="J196" s="2"/>
      <c r="K196" s="2"/>
      <c r="N196" s="2"/>
    </row>
    <row r="197" spans="9:14">
      <c r="I197" s="2"/>
      <c r="J197" s="2"/>
      <c r="K197" s="2"/>
      <c r="N197" s="2"/>
    </row>
    <row r="198" spans="9:14">
      <c r="I198" s="2"/>
      <c r="J198" s="2"/>
      <c r="K198" s="2"/>
      <c r="N198" s="2"/>
    </row>
    <row r="199" spans="9:14">
      <c r="I199" s="2"/>
      <c r="J199" s="2"/>
      <c r="K199" s="2"/>
      <c r="N199" s="2"/>
    </row>
    <row r="200" spans="9:14">
      <c r="I200" s="2"/>
      <c r="J200" s="2"/>
      <c r="K200" s="2"/>
      <c r="N200" s="2"/>
    </row>
    <row r="201" spans="9:14">
      <c r="I201" s="2"/>
      <c r="J201" s="2"/>
      <c r="K201" s="2"/>
      <c r="N201" s="2"/>
    </row>
    <row r="202" spans="9:14">
      <c r="I202" s="2"/>
      <c r="J202" s="2"/>
      <c r="K202" s="2"/>
      <c r="N202" s="2"/>
    </row>
    <row r="203" spans="9:14">
      <c r="I203" s="2"/>
      <c r="J203" s="2"/>
      <c r="K203" s="2"/>
      <c r="N203" s="2"/>
    </row>
    <row r="204" spans="9:14">
      <c r="I204" s="2"/>
      <c r="J204" s="2"/>
      <c r="K204" s="2"/>
      <c r="N204" s="2"/>
    </row>
    <row r="205" spans="9:14">
      <c r="I205" s="2"/>
      <c r="J205" s="2"/>
      <c r="K205" s="2"/>
      <c r="N205" s="2"/>
    </row>
    <row r="206" spans="9:14">
      <c r="I206" s="2"/>
      <c r="J206" s="2"/>
      <c r="K206" s="2"/>
      <c r="N206" s="2"/>
    </row>
    <row r="207" spans="9:14">
      <c r="I207" s="2"/>
      <c r="J207" s="2"/>
      <c r="K207" s="2"/>
      <c r="N207" s="2"/>
    </row>
    <row r="208" spans="9:14">
      <c r="I208" s="2"/>
      <c r="J208" s="2"/>
      <c r="K208" s="2"/>
      <c r="N208" s="2"/>
    </row>
    <row r="209" spans="9:14">
      <c r="I209" s="2"/>
      <c r="J209" s="2"/>
      <c r="K209" s="2"/>
      <c r="N209" s="2"/>
    </row>
    <row r="210" spans="9:14">
      <c r="I210" s="2"/>
      <c r="J210" s="2"/>
      <c r="K210" s="2"/>
      <c r="N210" s="2"/>
    </row>
    <row r="211" spans="9:14">
      <c r="I211" s="2"/>
      <c r="J211" s="2"/>
      <c r="K211" s="2"/>
      <c r="N211" s="2"/>
    </row>
    <row r="212" spans="9:14">
      <c r="I212" s="2"/>
      <c r="J212" s="2"/>
      <c r="K212" s="2"/>
      <c r="N212" s="2"/>
    </row>
    <row r="213" spans="9:14">
      <c r="I213" s="2"/>
      <c r="J213" s="2"/>
      <c r="K213" s="2"/>
      <c r="N213" s="2"/>
    </row>
    <row r="214" spans="9:14">
      <c r="I214" s="2"/>
      <c r="J214" s="2"/>
      <c r="K214" s="2"/>
      <c r="N214" s="2"/>
    </row>
    <row r="215" spans="9:14">
      <c r="I215" s="2"/>
      <c r="J215" s="2"/>
      <c r="K215" s="2"/>
      <c r="N215" s="2"/>
    </row>
    <row r="216" spans="9:14">
      <c r="I216" s="2"/>
      <c r="J216" s="2"/>
      <c r="K216" s="2"/>
      <c r="N216" s="2"/>
    </row>
    <row r="217" spans="9:14">
      <c r="I217" s="2"/>
      <c r="J217" s="2"/>
      <c r="K217" s="2"/>
      <c r="N217" s="2"/>
    </row>
    <row r="218" spans="9:14">
      <c r="I218" s="2"/>
      <c r="J218" s="2"/>
      <c r="K218" s="2"/>
      <c r="N218" s="2"/>
    </row>
    <row r="219" spans="9:14">
      <c r="I219" s="2"/>
      <c r="J219" s="2"/>
      <c r="K219" s="2"/>
      <c r="N219" s="2"/>
    </row>
    <row r="220" spans="9:14">
      <c r="I220" s="2"/>
      <c r="J220" s="2"/>
      <c r="K220" s="2"/>
      <c r="N220" s="2"/>
    </row>
    <row r="221" spans="9:14">
      <c r="I221" s="2"/>
      <c r="J221" s="2"/>
      <c r="K221" s="2"/>
      <c r="N221" s="2"/>
    </row>
    <row r="222" spans="9:14">
      <c r="I222" s="2"/>
      <c r="J222" s="2"/>
      <c r="K222" s="2"/>
      <c r="N222" s="2"/>
    </row>
    <row r="223" spans="9:14">
      <c r="I223" s="2"/>
      <c r="J223" s="2"/>
      <c r="K223" s="2"/>
      <c r="N223" s="2"/>
    </row>
    <row r="224" spans="9:14">
      <c r="I224" s="2"/>
      <c r="J224" s="2"/>
      <c r="K224" s="2"/>
      <c r="N224" s="2"/>
    </row>
    <row r="225" spans="9:14">
      <c r="I225" s="2"/>
      <c r="J225" s="2"/>
      <c r="K225" s="2"/>
      <c r="N225" s="2"/>
    </row>
    <row r="226" spans="9:14">
      <c r="I226" s="2"/>
      <c r="J226" s="2"/>
      <c r="K226" s="2"/>
      <c r="N226" s="2"/>
    </row>
    <row r="227" spans="9:14">
      <c r="I227" s="2"/>
      <c r="J227" s="2"/>
      <c r="K227" s="2"/>
      <c r="N227" s="2"/>
    </row>
    <row r="228" spans="9:14">
      <c r="I228" s="2"/>
      <c r="J228" s="2"/>
      <c r="K228" s="2"/>
      <c r="N228" s="2"/>
    </row>
    <row r="229" spans="9:14">
      <c r="I229" s="2"/>
      <c r="J229" s="2"/>
      <c r="K229" s="2"/>
      <c r="N229" s="2"/>
    </row>
    <row r="230" spans="9:14">
      <c r="I230" s="2"/>
      <c r="J230" s="2"/>
      <c r="K230" s="2"/>
      <c r="N230" s="2"/>
    </row>
    <row r="231" spans="9:14">
      <c r="I231" s="2"/>
      <c r="J231" s="2"/>
      <c r="K231" s="2"/>
      <c r="N231" s="2"/>
    </row>
    <row r="232" spans="9:14">
      <c r="I232" s="2"/>
      <c r="J232" s="2"/>
      <c r="K232" s="2"/>
      <c r="N232" s="2"/>
    </row>
    <row r="233" spans="9:14">
      <c r="I233" s="2"/>
      <c r="J233" s="2"/>
      <c r="K233" s="2"/>
      <c r="N233" s="2"/>
    </row>
    <row r="234" spans="9:14">
      <c r="I234" s="2"/>
      <c r="J234" s="2"/>
      <c r="K234" s="2"/>
      <c r="N234" s="2"/>
    </row>
    <row r="235" spans="9:14">
      <c r="I235" s="2"/>
      <c r="J235" s="2"/>
      <c r="K235" s="2"/>
      <c r="N235" s="2"/>
    </row>
    <row r="236" spans="9:14">
      <c r="I236" s="2"/>
      <c r="J236" s="2"/>
      <c r="K236" s="2"/>
      <c r="N236" s="2"/>
    </row>
    <row r="237" spans="9:14">
      <c r="I237" s="2"/>
      <c r="J237" s="2"/>
      <c r="K237" s="2"/>
      <c r="N237" s="2"/>
    </row>
    <row r="238" spans="9:14">
      <c r="I238" s="2"/>
      <c r="J238" s="2"/>
      <c r="K238" s="2"/>
      <c r="N238" s="2"/>
    </row>
    <row r="239" spans="9:14">
      <c r="I239" s="2"/>
      <c r="J239" s="2"/>
      <c r="K239" s="2"/>
      <c r="N239" s="2"/>
    </row>
    <row r="240" spans="9:14">
      <c r="I240" s="2"/>
      <c r="J240" s="2"/>
      <c r="K240" s="2"/>
      <c r="N240" s="2"/>
    </row>
    <row r="241" spans="9:14">
      <c r="I241" s="2"/>
      <c r="J241" s="2"/>
      <c r="K241" s="2"/>
      <c r="N241" s="2"/>
    </row>
    <row r="242" spans="9:14">
      <c r="I242" s="2"/>
      <c r="J242" s="2"/>
      <c r="K242" s="2"/>
      <c r="N242" s="2"/>
    </row>
    <row r="243" spans="9:14">
      <c r="I243" s="2"/>
      <c r="J243" s="2"/>
      <c r="K243" s="2"/>
      <c r="N243" s="2"/>
    </row>
    <row r="244" spans="9:14">
      <c r="I244" s="2"/>
      <c r="J244" s="2"/>
      <c r="K244" s="2"/>
      <c r="N244" s="2"/>
    </row>
    <row r="245" spans="9:14">
      <c r="I245" s="2"/>
      <c r="J245" s="2"/>
      <c r="K245" s="2"/>
      <c r="N245" s="2"/>
    </row>
    <row r="246" spans="9:14">
      <c r="I246" s="2"/>
      <c r="J246" s="2"/>
      <c r="K246" s="2"/>
      <c r="N246" s="2"/>
    </row>
    <row r="247" spans="9:14">
      <c r="I247" s="2"/>
      <c r="J247" s="2"/>
      <c r="K247" s="2"/>
      <c r="N247" s="2"/>
    </row>
    <row r="248" spans="9:14">
      <c r="I248" s="2"/>
      <c r="J248" s="2"/>
      <c r="K248" s="2"/>
      <c r="N248" s="2"/>
    </row>
    <row r="249" spans="9:14">
      <c r="I249" s="2"/>
      <c r="J249" s="2"/>
      <c r="K249" s="2"/>
      <c r="N249" s="2"/>
    </row>
    <row r="250" spans="9:14">
      <c r="I250" s="2"/>
      <c r="J250" s="2"/>
      <c r="K250" s="2"/>
      <c r="N250" s="2"/>
    </row>
    <row r="251" spans="9:14">
      <c r="I251" s="2"/>
      <c r="J251" s="2"/>
      <c r="K251" s="2"/>
      <c r="N251" s="2"/>
    </row>
    <row r="252" spans="9:14">
      <c r="I252" s="2"/>
      <c r="J252" s="2"/>
      <c r="K252" s="2"/>
      <c r="N252" s="2"/>
    </row>
    <row r="253" spans="9:14">
      <c r="I253" s="2"/>
      <c r="J253" s="2"/>
      <c r="K253" s="2"/>
      <c r="N253" s="2"/>
    </row>
    <row r="254" spans="9:14">
      <c r="I254" s="2"/>
      <c r="J254" s="2"/>
      <c r="K254" s="2"/>
      <c r="N254" s="2"/>
    </row>
    <row r="255" spans="9:14">
      <c r="I255" s="2"/>
      <c r="J255" s="2"/>
      <c r="K255" s="2"/>
      <c r="N255" s="2"/>
    </row>
    <row r="256" spans="9:14">
      <c r="I256" s="2"/>
      <c r="J256" s="2"/>
      <c r="K256" s="2"/>
      <c r="N256" s="2"/>
    </row>
    <row r="257" spans="9:14">
      <c r="I257" s="2"/>
      <c r="J257" s="2"/>
      <c r="K257" s="2"/>
      <c r="N257" s="2"/>
    </row>
    <row r="258" spans="9:14">
      <c r="I258" s="2"/>
      <c r="J258" s="2"/>
      <c r="K258" s="2"/>
      <c r="N258" s="2"/>
    </row>
    <row r="259" spans="9:14">
      <c r="I259" s="2"/>
      <c r="J259" s="2"/>
      <c r="K259" s="2"/>
      <c r="N259" s="2"/>
    </row>
    <row r="260" spans="9:14">
      <c r="I260" s="2"/>
      <c r="J260" s="2"/>
      <c r="K260" s="2"/>
      <c r="N260" s="2"/>
    </row>
    <row r="261" spans="9:14">
      <c r="I261" s="2"/>
      <c r="J261" s="2"/>
      <c r="K261" s="2"/>
      <c r="N261" s="2"/>
    </row>
    <row r="262" spans="9:14">
      <c r="I262" s="2"/>
      <c r="J262" s="2"/>
      <c r="K262" s="2"/>
      <c r="N262" s="2"/>
    </row>
    <row r="263" spans="9:14">
      <c r="I263" s="2"/>
      <c r="J263" s="2"/>
      <c r="K263" s="2"/>
      <c r="N263" s="2"/>
    </row>
    <row r="264" spans="9:14">
      <c r="I264" s="2"/>
      <c r="J264" s="2"/>
      <c r="K264" s="2"/>
      <c r="N264" s="2"/>
    </row>
    <row r="265" spans="9:14">
      <c r="I265" s="2"/>
      <c r="J265" s="2"/>
      <c r="K265" s="2"/>
      <c r="N265" s="2"/>
    </row>
    <row r="266" spans="9:14">
      <c r="I266" s="2"/>
      <c r="J266" s="2"/>
      <c r="K266" s="2"/>
      <c r="N266" s="2"/>
    </row>
    <row r="267" spans="9:14">
      <c r="I267" s="2"/>
      <c r="J267" s="2"/>
      <c r="K267" s="2"/>
      <c r="N267" s="2"/>
    </row>
    <row r="268" spans="9:14">
      <c r="I268" s="2"/>
      <c r="J268" s="2"/>
      <c r="K268" s="2"/>
      <c r="N268" s="2"/>
    </row>
    <row r="269" spans="9:14">
      <c r="I269" s="2"/>
      <c r="J269" s="2"/>
      <c r="K269" s="2"/>
      <c r="N269" s="2"/>
    </row>
    <row r="270" spans="9:14">
      <c r="I270" s="2"/>
      <c r="J270" s="2"/>
      <c r="K270" s="2"/>
      <c r="N270" s="2"/>
    </row>
    <row r="271" spans="9:14">
      <c r="I271" s="2"/>
      <c r="J271" s="2"/>
      <c r="K271" s="2"/>
      <c r="N271" s="2"/>
    </row>
    <row r="272" spans="9:14">
      <c r="I272" s="2"/>
      <c r="J272" s="2"/>
      <c r="K272" s="2"/>
      <c r="N272" s="2"/>
    </row>
    <row r="273" spans="9:14">
      <c r="I273" s="2"/>
      <c r="J273" s="2"/>
      <c r="K273" s="2"/>
      <c r="N273" s="2"/>
    </row>
    <row r="274" spans="9:14">
      <c r="I274" s="2"/>
      <c r="J274" s="2"/>
      <c r="K274" s="2"/>
      <c r="N274" s="2"/>
    </row>
    <row r="275" spans="9:14">
      <c r="I275" s="2"/>
      <c r="J275" s="2"/>
      <c r="K275" s="2"/>
      <c r="N275" s="2"/>
    </row>
    <row r="276" spans="9:14">
      <c r="I276" s="2"/>
      <c r="J276" s="2"/>
      <c r="K276" s="2"/>
      <c r="N276" s="2"/>
    </row>
    <row r="277" spans="9:14">
      <c r="I277" s="2"/>
      <c r="J277" s="2"/>
      <c r="K277" s="2"/>
      <c r="N277" s="2"/>
    </row>
    <row r="278" spans="9:14">
      <c r="I278" s="2"/>
      <c r="J278" s="2"/>
      <c r="K278" s="2"/>
      <c r="N278" s="2"/>
    </row>
    <row r="279" spans="9:14">
      <c r="I279" s="2"/>
      <c r="J279" s="2"/>
      <c r="K279" s="2"/>
      <c r="N279" s="2"/>
    </row>
    <row r="280" spans="9:14">
      <c r="I280" s="2"/>
      <c r="J280" s="2"/>
      <c r="K280" s="2"/>
      <c r="N280" s="2"/>
    </row>
    <row r="281" spans="9:14">
      <c r="I281" s="2"/>
      <c r="J281" s="2"/>
      <c r="K281" s="2"/>
      <c r="N281" s="2"/>
    </row>
    <row r="282" spans="9:14">
      <c r="I282" s="2"/>
      <c r="J282" s="2"/>
      <c r="K282" s="2"/>
      <c r="N282" s="2"/>
    </row>
    <row r="283" spans="9:14">
      <c r="I283" s="2"/>
      <c r="J283" s="2"/>
      <c r="K283" s="2"/>
      <c r="N283" s="2"/>
    </row>
    <row r="284" spans="9:14">
      <c r="I284" s="2"/>
      <c r="J284" s="2"/>
      <c r="K284" s="2"/>
      <c r="N284" s="2"/>
    </row>
    <row r="285" spans="9:14">
      <c r="I285" s="2"/>
      <c r="J285" s="2"/>
      <c r="K285" s="2"/>
      <c r="N285" s="2"/>
    </row>
    <row r="286" spans="9:14">
      <c r="I286" s="2"/>
      <c r="J286" s="2"/>
      <c r="K286" s="2"/>
      <c r="N286" s="2"/>
    </row>
    <row r="287" spans="9:14">
      <c r="I287" s="2"/>
      <c r="J287" s="2"/>
      <c r="K287" s="2"/>
      <c r="N287" s="2"/>
    </row>
    <row r="288" spans="9:14">
      <c r="I288" s="2"/>
      <c r="J288" s="2"/>
      <c r="K288" s="2"/>
      <c r="N288" s="2"/>
    </row>
    <row r="289" spans="9:14">
      <c r="I289" s="2"/>
      <c r="J289" s="2"/>
      <c r="K289" s="2"/>
      <c r="N289" s="2"/>
    </row>
    <row r="290" spans="9:14">
      <c r="I290" s="2"/>
      <c r="J290" s="2"/>
      <c r="K290" s="2"/>
      <c r="N290" s="2"/>
    </row>
    <row r="291" spans="9:14">
      <c r="I291" s="2"/>
      <c r="J291" s="2"/>
      <c r="K291" s="2"/>
      <c r="N291" s="2"/>
    </row>
    <row r="292" spans="9:14">
      <c r="I292" s="2"/>
      <c r="J292" s="2"/>
      <c r="K292" s="2"/>
      <c r="N292" s="2"/>
    </row>
    <row r="293" spans="9:14">
      <c r="I293" s="2"/>
      <c r="J293" s="2"/>
      <c r="K293" s="2"/>
      <c r="N293" s="2"/>
    </row>
    <row r="294" spans="9:14">
      <c r="I294" s="2"/>
      <c r="J294" s="2"/>
      <c r="K294" s="2"/>
      <c r="N294" s="2"/>
    </row>
    <row r="295" spans="9:14">
      <c r="I295" s="2"/>
      <c r="J295" s="2"/>
      <c r="K295" s="2"/>
      <c r="N295" s="2"/>
    </row>
    <row r="296" spans="9:14">
      <c r="I296" s="2"/>
      <c r="J296" s="2"/>
      <c r="K296" s="2"/>
      <c r="N296" s="2"/>
    </row>
    <row r="297" spans="9:14">
      <c r="I297" s="2"/>
      <c r="J297" s="2"/>
      <c r="K297" s="2"/>
      <c r="N297" s="2"/>
    </row>
    <row r="298" spans="9:14">
      <c r="I298" s="2"/>
      <c r="J298" s="2"/>
      <c r="K298" s="2"/>
      <c r="N298" s="2"/>
    </row>
    <row r="299" spans="9:14">
      <c r="I299" s="2"/>
      <c r="J299" s="2"/>
      <c r="K299" s="2"/>
      <c r="N299" s="2"/>
    </row>
    <row r="300" spans="9:14">
      <c r="I300" s="2"/>
      <c r="J300" s="2"/>
      <c r="K300" s="2"/>
      <c r="N300" s="2"/>
    </row>
    <row r="301" spans="9:14">
      <c r="I301" s="2"/>
      <c r="J301" s="2"/>
      <c r="K301" s="2"/>
      <c r="N301" s="2"/>
    </row>
    <row r="302" spans="9:14">
      <c r="I302" s="2"/>
      <c r="J302" s="2"/>
      <c r="K302" s="2"/>
      <c r="N302" s="2"/>
    </row>
    <row r="303" spans="9:14">
      <c r="I303" s="2"/>
      <c r="J303" s="2"/>
      <c r="K303" s="2"/>
      <c r="N303" s="2"/>
    </row>
    <row r="304" spans="9:14">
      <c r="I304" s="2"/>
      <c r="J304" s="2"/>
      <c r="K304" s="2"/>
      <c r="N304" s="2"/>
    </row>
    <row r="305" spans="9:14">
      <c r="I305" s="2"/>
      <c r="J305" s="2"/>
      <c r="K305" s="2"/>
      <c r="N305" s="2"/>
    </row>
    <row r="306" spans="9:14">
      <c r="I306" s="2"/>
      <c r="J306" s="2"/>
      <c r="K306" s="2"/>
      <c r="N306" s="2"/>
    </row>
    <row r="307" spans="9:14">
      <c r="I307" s="2"/>
      <c r="J307" s="2"/>
      <c r="K307" s="2"/>
      <c r="N307" s="2"/>
    </row>
    <row r="308" spans="9:14">
      <c r="I308" s="2"/>
      <c r="J308" s="2"/>
      <c r="K308" s="2"/>
      <c r="N308" s="2"/>
    </row>
    <row r="309" spans="9:14">
      <c r="I309" s="2"/>
      <c r="J309" s="2"/>
      <c r="K309" s="2"/>
      <c r="N309" s="2"/>
    </row>
    <row r="310" spans="9:14">
      <c r="I310" s="2"/>
      <c r="J310" s="2"/>
      <c r="K310" s="2"/>
      <c r="N310" s="2"/>
    </row>
    <row r="311" spans="9:14">
      <c r="I311" s="2"/>
      <c r="J311" s="2"/>
      <c r="K311" s="2"/>
      <c r="N311" s="2"/>
    </row>
    <row r="312" spans="9:14">
      <c r="I312" s="2"/>
      <c r="J312" s="2"/>
      <c r="K312" s="2"/>
      <c r="N312" s="2"/>
    </row>
    <row r="313" spans="9:14">
      <c r="I313" s="2"/>
      <c r="J313" s="2"/>
      <c r="K313" s="2"/>
      <c r="N313" s="2"/>
    </row>
    <row r="314" spans="9:14">
      <c r="I314" s="2"/>
      <c r="J314" s="2"/>
      <c r="K314" s="2"/>
      <c r="N314" s="2"/>
    </row>
    <row r="315" spans="9:14">
      <c r="I315" s="2"/>
      <c r="J315" s="2"/>
      <c r="K315" s="2"/>
      <c r="N315" s="2"/>
    </row>
    <row r="316" spans="9:14">
      <c r="I316" s="2"/>
      <c r="J316" s="2"/>
      <c r="K316" s="2"/>
      <c r="N316" s="2"/>
    </row>
    <row r="317" spans="9:14">
      <c r="I317" s="2"/>
      <c r="J317" s="2"/>
      <c r="K317" s="2"/>
      <c r="N317" s="2"/>
    </row>
    <row r="318" spans="9:14">
      <c r="I318" s="2"/>
      <c r="J318" s="2"/>
      <c r="K318" s="2"/>
      <c r="N318" s="2"/>
    </row>
    <row r="319" spans="9:14">
      <c r="I319" s="2"/>
      <c r="J319" s="2"/>
      <c r="K319" s="2"/>
      <c r="N319" s="2"/>
    </row>
    <row r="320" spans="9:14">
      <c r="I320" s="2"/>
      <c r="J320" s="2"/>
      <c r="K320" s="2"/>
      <c r="N320" s="2"/>
    </row>
    <row r="321" spans="9:14">
      <c r="I321" s="2"/>
      <c r="J321" s="2"/>
      <c r="K321" s="2"/>
      <c r="N321" s="2"/>
    </row>
    <row r="322" spans="9:14">
      <c r="I322" s="2"/>
      <c r="J322" s="2"/>
      <c r="K322" s="2"/>
      <c r="N322" s="2"/>
    </row>
    <row r="323" spans="9:14">
      <c r="I323" s="2"/>
      <c r="J323" s="2"/>
      <c r="K323" s="2"/>
      <c r="N323" s="2"/>
    </row>
    <row r="324" spans="9:14">
      <c r="I324" s="2"/>
      <c r="J324" s="2"/>
      <c r="K324" s="2"/>
      <c r="N324" s="2"/>
    </row>
    <row r="325" spans="9:14">
      <c r="I325" s="2"/>
      <c r="J325" s="2"/>
      <c r="K325" s="2"/>
      <c r="N325" s="2"/>
    </row>
    <row r="326" spans="9:14">
      <c r="I326" s="2"/>
      <c r="J326" s="2"/>
      <c r="K326" s="2"/>
      <c r="N326" s="2"/>
    </row>
    <row r="327" spans="9:14">
      <c r="I327" s="2"/>
      <c r="J327" s="2"/>
      <c r="K327" s="2"/>
      <c r="N327" s="2"/>
    </row>
    <row r="328" spans="9:14">
      <c r="I328" s="2"/>
      <c r="J328" s="2"/>
      <c r="K328" s="2"/>
      <c r="N328" s="2"/>
    </row>
    <row r="329" spans="9:14">
      <c r="I329" s="2"/>
      <c r="J329" s="2"/>
      <c r="K329" s="2"/>
      <c r="N329" s="2"/>
    </row>
    <row r="330" spans="9:14">
      <c r="I330" s="2"/>
      <c r="J330" s="2"/>
      <c r="K330" s="2"/>
      <c r="N330" s="2"/>
    </row>
    <row r="331" spans="9:14">
      <c r="I331" s="2"/>
      <c r="J331" s="2"/>
      <c r="K331" s="2"/>
      <c r="N331" s="2"/>
    </row>
    <row r="332" spans="9:14">
      <c r="I332" s="2"/>
      <c r="J332" s="2"/>
      <c r="K332" s="2"/>
      <c r="N332" s="2"/>
    </row>
    <row r="333" spans="9:14">
      <c r="I333" s="2"/>
      <c r="J333" s="2"/>
      <c r="K333" s="2"/>
      <c r="N333" s="2"/>
    </row>
    <row r="334" spans="9:14">
      <c r="I334" s="2"/>
      <c r="J334" s="2"/>
      <c r="K334" s="2"/>
      <c r="N334" s="2"/>
    </row>
    <row r="335" spans="9:14">
      <c r="I335" s="2"/>
      <c r="J335" s="2"/>
      <c r="K335" s="2"/>
      <c r="N335" s="2"/>
    </row>
    <row r="336" spans="9:14">
      <c r="I336" s="2"/>
      <c r="J336" s="2"/>
      <c r="K336" s="2"/>
      <c r="N336" s="2"/>
    </row>
    <row r="337" spans="9:14">
      <c r="I337" s="2"/>
      <c r="J337" s="2"/>
      <c r="K337" s="2"/>
      <c r="N337" s="2"/>
    </row>
    <row r="338" spans="9:14">
      <c r="I338" s="2"/>
      <c r="J338" s="2"/>
      <c r="K338" s="2"/>
      <c r="N338" s="2"/>
    </row>
    <row r="339" spans="9:14">
      <c r="I339" s="2"/>
      <c r="J339" s="2"/>
      <c r="K339" s="2"/>
      <c r="N339" s="2"/>
    </row>
    <row r="340" spans="9:14">
      <c r="I340" s="2"/>
      <c r="J340" s="2"/>
      <c r="K340" s="2"/>
      <c r="N340" s="2"/>
    </row>
    <row r="341" spans="9:14">
      <c r="I341" s="2"/>
      <c r="J341" s="2"/>
      <c r="K341" s="2"/>
      <c r="N341" s="2"/>
    </row>
    <row r="342" spans="9:14">
      <c r="I342" s="2"/>
      <c r="J342" s="2"/>
      <c r="K342" s="2"/>
      <c r="N342" s="2"/>
    </row>
    <row r="343" spans="9:14">
      <c r="I343" s="2"/>
      <c r="J343" s="2"/>
      <c r="K343" s="2"/>
      <c r="N343" s="2"/>
    </row>
    <row r="344" spans="9:14">
      <c r="I344" s="2"/>
      <c r="J344" s="2"/>
      <c r="K344" s="2"/>
      <c r="N344" s="2"/>
    </row>
    <row r="345" spans="9:14">
      <c r="I345" s="2"/>
      <c r="J345" s="2"/>
      <c r="K345" s="2"/>
      <c r="N345" s="2"/>
    </row>
    <row r="346" spans="9:14">
      <c r="I346" s="2"/>
      <c r="J346" s="2"/>
      <c r="K346" s="2"/>
      <c r="N346" s="2"/>
    </row>
    <row r="347" spans="9:14">
      <c r="I347" s="2"/>
      <c r="J347" s="2"/>
      <c r="K347" s="2"/>
      <c r="N347" s="2"/>
    </row>
    <row r="348" spans="9:14">
      <c r="I348" s="2"/>
      <c r="J348" s="2"/>
      <c r="K348" s="2"/>
      <c r="N348" s="2"/>
    </row>
    <row r="349" spans="9:14">
      <c r="I349" s="2"/>
      <c r="J349" s="2"/>
      <c r="K349" s="2"/>
      <c r="N349" s="2"/>
    </row>
    <row r="350" spans="9:14">
      <c r="I350" s="2"/>
      <c r="J350" s="2"/>
      <c r="K350" s="2"/>
      <c r="N350" s="2"/>
    </row>
    <row r="351" spans="9:14">
      <c r="I351" s="2"/>
      <c r="J351" s="2"/>
      <c r="K351" s="2"/>
      <c r="N351" s="2"/>
    </row>
    <row r="352" spans="9:14">
      <c r="I352" s="2"/>
      <c r="J352" s="2"/>
      <c r="K352" s="2"/>
      <c r="N352" s="2"/>
    </row>
    <row r="353" spans="9:14">
      <c r="I353" s="2"/>
      <c r="J353" s="2"/>
      <c r="K353" s="2"/>
      <c r="N353" s="2"/>
    </row>
    <row r="354" spans="9:14">
      <c r="I354" s="2"/>
      <c r="J354" s="2"/>
      <c r="K354" s="2"/>
      <c r="N354" s="2"/>
    </row>
    <row r="355" spans="9:14">
      <c r="I355" s="2"/>
      <c r="J355" s="2"/>
      <c r="K355" s="2"/>
      <c r="N355" s="2"/>
    </row>
    <row r="356" spans="9:14">
      <c r="I356" s="2"/>
      <c r="J356" s="2"/>
      <c r="K356" s="2"/>
      <c r="N356" s="2"/>
    </row>
    <row r="357" spans="9:14">
      <c r="I357" s="2"/>
      <c r="J357" s="2"/>
      <c r="K357" s="2"/>
      <c r="N357" s="2"/>
    </row>
    <row r="358" spans="9:14">
      <c r="I358" s="2"/>
      <c r="J358" s="2"/>
      <c r="K358" s="2"/>
      <c r="N358" s="2"/>
    </row>
    <row r="359" spans="9:14">
      <c r="I359" s="2"/>
      <c r="J359" s="2"/>
      <c r="K359" s="2"/>
      <c r="N359" s="2"/>
    </row>
    <row r="360" spans="9:14">
      <c r="I360" s="2"/>
      <c r="J360" s="2"/>
      <c r="K360" s="2"/>
      <c r="N360" s="2"/>
    </row>
    <row r="361" spans="9:14">
      <c r="I361" s="2"/>
      <c r="J361" s="2"/>
      <c r="K361" s="2"/>
      <c r="N361" s="2"/>
    </row>
    <row r="362" spans="9:14">
      <c r="I362" s="2"/>
      <c r="J362" s="2"/>
      <c r="K362" s="2"/>
      <c r="N362" s="2"/>
    </row>
    <row r="363" spans="9:14">
      <c r="I363" s="2"/>
      <c r="J363" s="2"/>
      <c r="K363" s="2"/>
      <c r="N363" s="2"/>
    </row>
    <row r="364" spans="9:14">
      <c r="I364" s="2"/>
      <c r="J364" s="2"/>
      <c r="K364" s="2"/>
      <c r="N364" s="2"/>
    </row>
    <row r="365" spans="9:14">
      <c r="I365" s="2"/>
      <c r="J365" s="2"/>
      <c r="K365" s="2"/>
      <c r="N365" s="2"/>
    </row>
    <row r="366" spans="9:14">
      <c r="I366" s="2"/>
      <c r="J366" s="2"/>
      <c r="K366" s="2"/>
      <c r="N366" s="2"/>
    </row>
    <row r="367" spans="9:14">
      <c r="I367" s="2"/>
      <c r="J367" s="2"/>
      <c r="K367" s="2"/>
      <c r="N367" s="2"/>
    </row>
    <row r="368" spans="9:14">
      <c r="I368" s="2"/>
      <c r="J368" s="2"/>
      <c r="K368" s="2"/>
      <c r="N368" s="2"/>
    </row>
    <row r="369" spans="9:14">
      <c r="I369" s="2"/>
      <c r="J369" s="2"/>
      <c r="K369" s="2"/>
      <c r="N369" s="2"/>
    </row>
    <row r="370" spans="9:14">
      <c r="I370" s="2"/>
      <c r="J370" s="2"/>
      <c r="K370" s="2"/>
      <c r="N370" s="2"/>
    </row>
    <row r="371" spans="9:14">
      <c r="I371" s="2"/>
      <c r="J371" s="2"/>
      <c r="K371" s="2"/>
      <c r="N371" s="2"/>
    </row>
    <row r="372" spans="9:14">
      <c r="I372" s="2"/>
      <c r="J372" s="2"/>
      <c r="K372" s="2"/>
      <c r="N372" s="2"/>
    </row>
    <row r="373" spans="9:14">
      <c r="I373" s="2"/>
      <c r="J373" s="2"/>
      <c r="K373" s="2"/>
      <c r="N373" s="2"/>
    </row>
    <row r="374" spans="9:14">
      <c r="I374" s="2"/>
      <c r="J374" s="2"/>
      <c r="K374" s="2"/>
      <c r="N374" s="2"/>
    </row>
    <row r="375" spans="9:14">
      <c r="I375" s="2"/>
      <c r="J375" s="2"/>
      <c r="K375" s="2"/>
      <c r="N375" s="2"/>
    </row>
    <row r="376" spans="9:14">
      <c r="I376" s="2"/>
      <c r="J376" s="2"/>
      <c r="K376" s="2"/>
      <c r="N376" s="2"/>
    </row>
    <row r="377" spans="9:14">
      <c r="I377" s="2"/>
      <c r="J377" s="2"/>
      <c r="K377" s="2"/>
      <c r="N377" s="2"/>
    </row>
    <row r="378" spans="9:14">
      <c r="I378" s="2"/>
      <c r="J378" s="2"/>
      <c r="K378" s="2"/>
      <c r="N378" s="2"/>
    </row>
    <row r="379" spans="9:14">
      <c r="I379" s="2"/>
      <c r="J379" s="2"/>
      <c r="K379" s="2"/>
      <c r="N379" s="2"/>
    </row>
    <row r="380" spans="9:14">
      <c r="I380" s="2"/>
      <c r="J380" s="2"/>
      <c r="K380" s="2"/>
      <c r="N380" s="2"/>
    </row>
    <row r="381" spans="9:14">
      <c r="I381" s="2"/>
      <c r="J381" s="2"/>
      <c r="K381" s="2"/>
      <c r="N381" s="2"/>
    </row>
    <row r="382" spans="9:14">
      <c r="I382" s="2"/>
      <c r="J382" s="2"/>
      <c r="K382" s="2"/>
      <c r="N382" s="2"/>
    </row>
    <row r="383" spans="9:14">
      <c r="I383" s="2"/>
      <c r="J383" s="2"/>
      <c r="K383" s="2"/>
      <c r="N383" s="2"/>
    </row>
    <row r="384" spans="9:14">
      <c r="I384" s="2"/>
      <c r="J384" s="2"/>
      <c r="K384" s="2"/>
      <c r="N384" s="2"/>
    </row>
    <row r="385" spans="9:14">
      <c r="I385" s="2"/>
      <c r="J385" s="2"/>
      <c r="K385" s="2"/>
      <c r="N385" s="2"/>
    </row>
    <row r="386" spans="9:14">
      <c r="I386" s="2"/>
      <c r="J386" s="2"/>
      <c r="K386" s="2"/>
      <c r="N386" s="2"/>
    </row>
    <row r="387" spans="9:14">
      <c r="I387" s="2"/>
      <c r="J387" s="2"/>
      <c r="K387" s="2"/>
      <c r="N387" s="2"/>
    </row>
    <row r="388" spans="9:14">
      <c r="I388" s="2"/>
      <c r="J388" s="2"/>
      <c r="K388" s="2"/>
      <c r="N388" s="2"/>
    </row>
    <row r="389" spans="9:14">
      <c r="I389" s="2"/>
      <c r="J389" s="2"/>
      <c r="K389" s="2"/>
      <c r="N389" s="2"/>
    </row>
    <row r="390" spans="9:14">
      <c r="I390" s="2"/>
      <c r="J390" s="2"/>
      <c r="K390" s="2"/>
      <c r="N390" s="2"/>
    </row>
    <row r="391" spans="9:14">
      <c r="I391" s="2"/>
      <c r="J391" s="2"/>
      <c r="K391" s="2"/>
      <c r="N391" s="2"/>
    </row>
    <row r="392" spans="9:14">
      <c r="I392" s="2"/>
      <c r="J392" s="2"/>
      <c r="K392" s="2"/>
      <c r="N392" s="2"/>
    </row>
    <row r="393" spans="9:14">
      <c r="I393" s="2"/>
      <c r="J393" s="2"/>
      <c r="K393" s="2"/>
      <c r="N393" s="2"/>
    </row>
    <row r="394" spans="9:14">
      <c r="I394" s="2"/>
      <c r="J394" s="2"/>
      <c r="K394" s="2"/>
      <c r="N394" s="2"/>
    </row>
    <row r="395" spans="9:14">
      <c r="I395" s="2"/>
      <c r="J395" s="2"/>
      <c r="K395" s="2"/>
      <c r="N395" s="2"/>
    </row>
    <row r="396" spans="9:14">
      <c r="I396" s="2"/>
      <c r="J396" s="2"/>
      <c r="K396" s="2"/>
      <c r="N396" s="2"/>
    </row>
    <row r="397" spans="9:14">
      <c r="I397" s="2"/>
      <c r="J397" s="2"/>
      <c r="K397" s="2"/>
      <c r="N397" s="2"/>
    </row>
    <row r="398" spans="9:14">
      <c r="I398" s="2"/>
      <c r="J398" s="2"/>
      <c r="K398" s="2"/>
      <c r="N398" s="2"/>
    </row>
    <row r="399" spans="9:14">
      <c r="I399" s="2"/>
      <c r="J399" s="2"/>
      <c r="K399" s="2"/>
      <c r="N399" s="2"/>
    </row>
    <row r="400" spans="9:14">
      <c r="I400" s="2"/>
      <c r="J400" s="2"/>
      <c r="K400" s="2"/>
      <c r="N400" s="2"/>
    </row>
    <row r="401" spans="9:14">
      <c r="I401" s="2"/>
      <c r="J401" s="2"/>
      <c r="K401" s="2"/>
      <c r="N401" s="2"/>
    </row>
    <row r="402" spans="9:14">
      <c r="I402" s="2"/>
      <c r="J402" s="2"/>
      <c r="K402" s="2"/>
      <c r="N402" s="2"/>
    </row>
    <row r="403" spans="9:14">
      <c r="I403" s="2"/>
      <c r="J403" s="2"/>
      <c r="K403" s="2"/>
      <c r="N403" s="2"/>
    </row>
    <row r="404" spans="9:14">
      <c r="I404" s="2"/>
      <c r="J404" s="2"/>
      <c r="K404" s="2"/>
      <c r="N404" s="2"/>
    </row>
    <row r="405" spans="9:14">
      <c r="I405" s="2"/>
      <c r="J405" s="2"/>
      <c r="K405" s="2"/>
      <c r="N405" s="2"/>
    </row>
    <row r="406" spans="9:14">
      <c r="I406" s="2"/>
      <c r="J406" s="2"/>
      <c r="K406" s="2"/>
      <c r="N406" s="2"/>
    </row>
    <row r="407" spans="9:14">
      <c r="I407" s="2"/>
      <c r="J407" s="2"/>
      <c r="K407" s="2"/>
      <c r="N407" s="2"/>
    </row>
    <row r="408" spans="9:14">
      <c r="I408" s="2"/>
      <c r="J408" s="2"/>
      <c r="K408" s="2"/>
      <c r="N408" s="2"/>
    </row>
    <row r="409" spans="9:14">
      <c r="I409" s="2"/>
      <c r="J409" s="2"/>
      <c r="K409" s="2"/>
      <c r="N409" s="2"/>
    </row>
    <row r="410" spans="9:14">
      <c r="I410" s="2"/>
      <c r="J410" s="2"/>
      <c r="K410" s="2"/>
      <c r="N410" s="2"/>
    </row>
    <row r="411" spans="9:14">
      <c r="I411" s="2"/>
      <c r="J411" s="2"/>
      <c r="K411" s="2"/>
      <c r="N411" s="2"/>
    </row>
    <row r="412" spans="9:14">
      <c r="I412" s="2"/>
      <c r="J412" s="2"/>
      <c r="K412" s="2"/>
      <c r="N412" s="2"/>
    </row>
    <row r="413" spans="9:14">
      <c r="I413" s="2"/>
      <c r="J413" s="2"/>
      <c r="K413" s="2"/>
      <c r="N413" s="2"/>
    </row>
    <row r="414" spans="9:14">
      <c r="I414" s="2"/>
      <c r="J414" s="2"/>
      <c r="K414" s="2"/>
      <c r="N414" s="2"/>
    </row>
    <row r="415" spans="9:14">
      <c r="I415" s="2"/>
      <c r="J415" s="2"/>
      <c r="K415" s="2"/>
      <c r="N415" s="2"/>
    </row>
    <row r="416" spans="9:14">
      <c r="I416" s="2"/>
      <c r="J416" s="2"/>
      <c r="K416" s="2"/>
      <c r="N416" s="2"/>
    </row>
    <row r="417" spans="9:14">
      <c r="I417" s="2"/>
      <c r="J417" s="2"/>
      <c r="K417" s="2"/>
      <c r="N417" s="2"/>
    </row>
    <row r="418" spans="9:14">
      <c r="I418" s="2"/>
      <c r="J418" s="2"/>
      <c r="K418" s="2"/>
      <c r="N418" s="2"/>
    </row>
    <row r="419" spans="9:14">
      <c r="I419" s="2"/>
      <c r="J419" s="2"/>
      <c r="K419" s="2"/>
      <c r="N419" s="2"/>
    </row>
    <row r="420" spans="9:14">
      <c r="I420" s="2"/>
      <c r="J420" s="2"/>
      <c r="K420" s="2"/>
      <c r="N420" s="2"/>
    </row>
    <row r="421" spans="9:14">
      <c r="I421" s="2"/>
      <c r="J421" s="2"/>
      <c r="K421" s="2"/>
      <c r="N421" s="2"/>
    </row>
    <row r="422" spans="9:14">
      <c r="I422" s="2"/>
      <c r="J422" s="2"/>
      <c r="K422" s="2"/>
      <c r="N422" s="2"/>
    </row>
    <row r="423" spans="9:14">
      <c r="I423" s="2"/>
      <c r="J423" s="2"/>
      <c r="K423" s="2"/>
      <c r="N423" s="2"/>
    </row>
    <row r="424" spans="9:14">
      <c r="I424" s="2"/>
      <c r="J424" s="2"/>
      <c r="K424" s="2"/>
      <c r="N424" s="2"/>
    </row>
    <row r="425" spans="9:14">
      <c r="I425" s="2"/>
      <c r="J425" s="2"/>
      <c r="K425" s="2"/>
      <c r="N425" s="2"/>
    </row>
    <row r="426" spans="9:14">
      <c r="I426" s="2"/>
      <c r="J426" s="2"/>
      <c r="K426" s="2"/>
      <c r="N426" s="2"/>
    </row>
    <row r="427" spans="9:14">
      <c r="I427" s="2"/>
      <c r="J427" s="2"/>
      <c r="K427" s="2"/>
      <c r="N427" s="2"/>
    </row>
    <row r="428" spans="9:14">
      <c r="I428" s="2"/>
      <c r="J428" s="2"/>
      <c r="K428" s="2"/>
      <c r="N428" s="2"/>
    </row>
    <row r="429" spans="9:14">
      <c r="I429" s="2"/>
      <c r="J429" s="2"/>
      <c r="K429" s="2"/>
      <c r="N429" s="2"/>
    </row>
    <row r="430" spans="9:14">
      <c r="I430" s="2"/>
      <c r="J430" s="2"/>
      <c r="K430" s="2"/>
      <c r="N430" s="2"/>
    </row>
    <row r="431" spans="9:14">
      <c r="I431" s="2"/>
      <c r="J431" s="2"/>
      <c r="K431" s="2"/>
      <c r="N431" s="2"/>
    </row>
    <row r="432" spans="9:14">
      <c r="I432" s="2"/>
      <c r="J432" s="2"/>
      <c r="K432" s="2"/>
      <c r="N432" s="2"/>
    </row>
    <row r="433" spans="9:14">
      <c r="I433" s="2"/>
      <c r="J433" s="2"/>
      <c r="K433" s="2"/>
      <c r="N433" s="2"/>
    </row>
    <row r="434" spans="9:14">
      <c r="I434" s="2"/>
      <c r="J434" s="2"/>
      <c r="K434" s="2"/>
      <c r="N434" s="2"/>
    </row>
    <row r="435" spans="9:14">
      <c r="I435" s="2"/>
      <c r="J435" s="2"/>
      <c r="K435" s="2"/>
      <c r="N435" s="2"/>
    </row>
    <row r="436" spans="9:14">
      <c r="I436" s="2"/>
      <c r="J436" s="2"/>
      <c r="K436" s="2"/>
      <c r="N436" s="2"/>
    </row>
    <row r="437" spans="9:14">
      <c r="I437" s="2"/>
      <c r="J437" s="2"/>
      <c r="K437" s="2"/>
      <c r="N437" s="2"/>
    </row>
    <row r="438" spans="9:14">
      <c r="I438" s="2"/>
      <c r="J438" s="2"/>
      <c r="K438" s="2"/>
      <c r="N438" s="2"/>
    </row>
    <row r="439" spans="9:14">
      <c r="I439" s="2"/>
      <c r="J439" s="2"/>
      <c r="K439" s="2"/>
      <c r="N439" s="2"/>
    </row>
    <row r="440" spans="9:14">
      <c r="I440" s="2"/>
      <c r="J440" s="2"/>
      <c r="K440" s="2"/>
      <c r="N440" s="2"/>
    </row>
    <row r="441" spans="9:14">
      <c r="I441" s="2"/>
      <c r="J441" s="2"/>
      <c r="K441" s="2"/>
      <c r="N441" s="2"/>
    </row>
    <row r="442" spans="9:14">
      <c r="I442" s="2"/>
      <c r="J442" s="2"/>
      <c r="K442" s="2"/>
      <c r="N442" s="2"/>
    </row>
    <row r="443" spans="9:14">
      <c r="I443" s="2"/>
      <c r="J443" s="2"/>
      <c r="K443" s="2"/>
      <c r="N443" s="2"/>
    </row>
    <row r="444" spans="9:14">
      <c r="I444" s="2"/>
      <c r="J444" s="2"/>
      <c r="K444" s="2"/>
      <c r="N444" s="2"/>
    </row>
    <row r="445" spans="9:14">
      <c r="I445" s="2"/>
      <c r="J445" s="2"/>
      <c r="K445" s="2"/>
      <c r="N445" s="2"/>
    </row>
    <row r="446" spans="9:14">
      <c r="I446" s="2"/>
      <c r="J446" s="2"/>
      <c r="K446" s="2"/>
      <c r="N446" s="2"/>
    </row>
    <row r="447" spans="9:14">
      <c r="I447" s="2"/>
      <c r="J447" s="2"/>
      <c r="K447" s="2"/>
      <c r="N447" s="2"/>
    </row>
    <row r="448" spans="9:14">
      <c r="I448" s="2"/>
      <c r="J448" s="2"/>
      <c r="K448" s="2"/>
      <c r="N448" s="2"/>
    </row>
    <row r="449" spans="9:14">
      <c r="I449" s="2"/>
      <c r="J449" s="2"/>
      <c r="K449" s="2"/>
      <c r="N449" s="2"/>
    </row>
    <row r="450" spans="9:14">
      <c r="I450" s="2"/>
      <c r="J450" s="2"/>
      <c r="K450" s="2"/>
      <c r="N450" s="2"/>
    </row>
    <row r="451" spans="9:14">
      <c r="I451" s="2"/>
      <c r="J451" s="2"/>
      <c r="K451" s="2"/>
      <c r="N451" s="2"/>
    </row>
    <row r="452" spans="9:14">
      <c r="I452" s="2"/>
      <c r="J452" s="2"/>
      <c r="K452" s="2"/>
      <c r="N452" s="2"/>
    </row>
    <row r="453" spans="9:14">
      <c r="I453" s="2"/>
      <c r="J453" s="2"/>
      <c r="K453" s="2"/>
      <c r="N453" s="2"/>
    </row>
    <row r="454" spans="9:14">
      <c r="I454" s="2"/>
      <c r="J454" s="2"/>
      <c r="K454" s="2"/>
      <c r="N454" s="2"/>
    </row>
    <row r="455" spans="9:14">
      <c r="I455" s="2"/>
      <c r="J455" s="2"/>
      <c r="K455" s="2"/>
      <c r="N455" s="2"/>
    </row>
    <row r="456" spans="9:14">
      <c r="I456" s="2"/>
      <c r="J456" s="2"/>
      <c r="K456" s="2"/>
      <c r="N456" s="2"/>
    </row>
    <row r="457" spans="9:14">
      <c r="I457" s="2"/>
      <c r="J457" s="2"/>
      <c r="K457" s="2"/>
      <c r="N457" s="2"/>
    </row>
    <row r="458" spans="9:14">
      <c r="I458" s="2"/>
      <c r="J458" s="2"/>
      <c r="K458" s="2"/>
      <c r="N458" s="2"/>
    </row>
    <row r="459" spans="9:14">
      <c r="I459" s="2"/>
      <c r="J459" s="2"/>
      <c r="K459" s="2"/>
      <c r="N459" s="2"/>
    </row>
    <row r="460" spans="9:14">
      <c r="I460" s="2"/>
      <c r="J460" s="2"/>
      <c r="K460" s="2"/>
      <c r="N460" s="2"/>
    </row>
    <row r="461" spans="9:14">
      <c r="I461" s="2"/>
      <c r="J461" s="2"/>
      <c r="K461" s="2"/>
      <c r="N461" s="2"/>
    </row>
    <row r="462" spans="9:14">
      <c r="I462" s="2"/>
      <c r="J462" s="2"/>
      <c r="K462" s="2"/>
      <c r="N462" s="2"/>
    </row>
    <row r="463" spans="9:14">
      <c r="I463" s="2"/>
      <c r="J463" s="2"/>
      <c r="K463" s="2"/>
      <c r="N463" s="2"/>
    </row>
    <row r="464" spans="9:14">
      <c r="I464" s="2"/>
      <c r="J464" s="2"/>
      <c r="K464" s="2"/>
      <c r="N464" s="2"/>
    </row>
    <row r="465" spans="9:14">
      <c r="I465" s="2"/>
      <c r="J465" s="2"/>
      <c r="K465" s="2"/>
      <c r="N465" s="2"/>
    </row>
    <row r="466" spans="9:14">
      <c r="I466" s="2"/>
      <c r="J466" s="2"/>
      <c r="K466" s="2"/>
      <c r="N466" s="2"/>
    </row>
    <row r="467" spans="9:14">
      <c r="I467" s="2"/>
      <c r="J467" s="2"/>
      <c r="K467" s="2"/>
      <c r="N467" s="2"/>
    </row>
    <row r="468" spans="9:14">
      <c r="I468" s="2"/>
      <c r="J468" s="2"/>
      <c r="K468" s="2"/>
      <c r="N468" s="2"/>
    </row>
    <row r="469" spans="9:14">
      <c r="I469" s="2"/>
      <c r="J469" s="2"/>
      <c r="K469" s="2"/>
      <c r="N469" s="2"/>
    </row>
    <row r="470" spans="9:14">
      <c r="I470" s="2"/>
      <c r="J470" s="2"/>
      <c r="K470" s="2"/>
      <c r="N470" s="2"/>
    </row>
    <row r="471" spans="9:14">
      <c r="I471" s="2"/>
      <c r="J471" s="2"/>
      <c r="K471" s="2"/>
      <c r="N471" s="2"/>
    </row>
    <row r="472" spans="9:14">
      <c r="I472" s="2"/>
      <c r="J472" s="2"/>
      <c r="K472" s="2"/>
      <c r="N472" s="2"/>
    </row>
    <row r="473" spans="9:14">
      <c r="I473" s="2"/>
      <c r="J473" s="2"/>
      <c r="K473" s="2"/>
      <c r="N473" s="2"/>
    </row>
    <row r="474" spans="9:14">
      <c r="I474" s="2"/>
      <c r="J474" s="2"/>
      <c r="K474" s="2"/>
      <c r="N474" s="2"/>
    </row>
    <row r="475" spans="9:14">
      <c r="I475" s="2"/>
      <c r="J475" s="2"/>
      <c r="K475" s="2"/>
      <c r="N475" s="2"/>
    </row>
    <row r="476" spans="9:14">
      <c r="I476" s="2"/>
      <c r="J476" s="2"/>
      <c r="K476" s="2"/>
      <c r="N476" s="2"/>
    </row>
    <row r="477" spans="9:14">
      <c r="I477" s="2"/>
      <c r="J477" s="2"/>
      <c r="K477" s="2"/>
      <c r="N477" s="2"/>
    </row>
    <row r="478" spans="9:14">
      <c r="I478" s="2"/>
      <c r="J478" s="2"/>
      <c r="K478" s="2"/>
      <c r="N478" s="2"/>
    </row>
    <row r="479" spans="9:14">
      <c r="I479" s="2"/>
      <c r="J479" s="2"/>
      <c r="K479" s="2"/>
      <c r="N479" s="2"/>
    </row>
    <row r="480" spans="9:14">
      <c r="I480" s="2"/>
      <c r="J480" s="2"/>
      <c r="K480" s="2"/>
      <c r="N480" s="2"/>
    </row>
    <row r="481" spans="9:14">
      <c r="I481" s="2"/>
      <c r="J481" s="2"/>
      <c r="K481" s="2"/>
      <c r="N481" s="2"/>
    </row>
    <row r="482" spans="9:14">
      <c r="I482" s="2"/>
      <c r="J482" s="2"/>
      <c r="K482" s="2"/>
      <c r="N482" s="2"/>
    </row>
    <row r="483" spans="9:14">
      <c r="I483" s="2"/>
      <c r="J483" s="2"/>
      <c r="K483" s="2"/>
      <c r="N483" s="2"/>
    </row>
    <row r="484" spans="9:14">
      <c r="I484" s="2"/>
      <c r="J484" s="2"/>
      <c r="K484" s="2"/>
      <c r="N484" s="2"/>
    </row>
    <row r="485" spans="9:14">
      <c r="I485" s="2"/>
      <c r="J485" s="2"/>
      <c r="K485" s="2"/>
      <c r="N485" s="2"/>
    </row>
    <row r="486" spans="9:14">
      <c r="I486" s="2"/>
      <c r="J486" s="2"/>
      <c r="K486" s="2"/>
      <c r="N486" s="2"/>
    </row>
    <row r="487" spans="9:14">
      <c r="I487" s="2"/>
      <c r="J487" s="2"/>
      <c r="K487" s="2"/>
      <c r="N487" s="2"/>
    </row>
    <row r="488" spans="9:14">
      <c r="I488" s="2"/>
      <c r="J488" s="2"/>
      <c r="K488" s="2"/>
      <c r="N488" s="2"/>
    </row>
    <row r="489" spans="9:14">
      <c r="I489" s="2"/>
      <c r="J489" s="2"/>
      <c r="K489" s="2"/>
      <c r="N489" s="2"/>
    </row>
    <row r="490" spans="9:14">
      <c r="I490" s="2"/>
      <c r="J490" s="2"/>
      <c r="K490" s="2"/>
      <c r="N490" s="2"/>
    </row>
    <row r="491" spans="9:14">
      <c r="I491" s="2"/>
      <c r="J491" s="2"/>
      <c r="K491" s="2"/>
      <c r="N491" s="2"/>
    </row>
    <row r="492" spans="9:14">
      <c r="I492" s="2"/>
      <c r="J492" s="2"/>
      <c r="K492" s="2"/>
      <c r="N492" s="2"/>
    </row>
    <row r="493" spans="9:14">
      <c r="I493" s="2"/>
      <c r="J493" s="2"/>
      <c r="K493" s="2"/>
      <c r="N493" s="2"/>
    </row>
    <row r="494" spans="9:14">
      <c r="I494" s="2"/>
      <c r="J494" s="2"/>
      <c r="K494" s="2"/>
      <c r="N494" s="2"/>
    </row>
    <row r="495" spans="9:14">
      <c r="I495" s="2"/>
      <c r="J495" s="2"/>
      <c r="K495" s="2"/>
      <c r="N495" s="2"/>
    </row>
    <row r="496" spans="9:14">
      <c r="I496" s="2"/>
      <c r="J496" s="2"/>
      <c r="K496" s="2"/>
      <c r="N496" s="2"/>
    </row>
    <row r="497" spans="9:14">
      <c r="I497" s="2"/>
      <c r="J497" s="2"/>
      <c r="K497" s="2"/>
      <c r="N497" s="2"/>
    </row>
    <row r="498" spans="9:14">
      <c r="I498" s="2"/>
      <c r="J498" s="2"/>
      <c r="K498" s="2"/>
      <c r="N498" s="2"/>
    </row>
    <row r="499" spans="9:14">
      <c r="I499" s="2"/>
      <c r="J499" s="2"/>
      <c r="K499" s="2"/>
      <c r="N499" s="2"/>
    </row>
    <row r="500" spans="9:14">
      <c r="I500" s="2"/>
      <c r="J500" s="2"/>
      <c r="K500" s="2"/>
      <c r="N500" s="2"/>
    </row>
    <row r="501" spans="9:14">
      <c r="I501" s="2"/>
      <c r="J501" s="2"/>
      <c r="K501" s="2"/>
      <c r="N501" s="2"/>
    </row>
    <row r="502" spans="9:14">
      <c r="I502" s="2"/>
      <c r="J502" s="2"/>
      <c r="K502" s="2"/>
      <c r="N502" s="2"/>
    </row>
    <row r="503" spans="9:14">
      <c r="I503" s="2"/>
      <c r="J503" s="2"/>
      <c r="K503" s="2"/>
      <c r="N503" s="2"/>
    </row>
    <row r="504" spans="9:14">
      <c r="I504" s="2"/>
      <c r="J504" s="2"/>
      <c r="K504" s="2"/>
      <c r="N504" s="2"/>
    </row>
    <row r="505" spans="9:14">
      <c r="I505" s="2"/>
      <c r="J505" s="2"/>
      <c r="K505" s="2"/>
      <c r="N505" s="2"/>
    </row>
    <row r="506" spans="9:14">
      <c r="I506" s="2"/>
      <c r="J506" s="2"/>
      <c r="K506" s="2"/>
      <c r="N506" s="2"/>
    </row>
    <row r="507" spans="9:14">
      <c r="I507" s="2"/>
      <c r="J507" s="2"/>
      <c r="K507" s="2"/>
      <c r="N507" s="2"/>
    </row>
    <row r="508" spans="9:14">
      <c r="I508" s="2"/>
      <c r="J508" s="2"/>
      <c r="K508" s="2"/>
      <c r="N508" s="2"/>
    </row>
    <row r="509" spans="9:14">
      <c r="I509" s="2"/>
      <c r="J509" s="2"/>
      <c r="K509" s="2"/>
      <c r="N509" s="2"/>
    </row>
    <row r="510" spans="9:14">
      <c r="I510" s="2"/>
      <c r="J510" s="2"/>
      <c r="K510" s="2"/>
      <c r="N510" s="2"/>
    </row>
    <row r="511" spans="9:14">
      <c r="I511" s="2"/>
      <c r="J511" s="2"/>
      <c r="K511" s="2"/>
      <c r="N511" s="2"/>
    </row>
    <row r="512" spans="9:14">
      <c r="I512" s="2"/>
      <c r="J512" s="2"/>
      <c r="K512" s="2"/>
      <c r="N512" s="2"/>
    </row>
    <row r="513" spans="9:14">
      <c r="I513" s="2"/>
      <c r="J513" s="2"/>
      <c r="K513" s="2"/>
      <c r="N513" s="2"/>
    </row>
    <row r="514" spans="9:14">
      <c r="I514" s="2"/>
      <c r="J514" s="2"/>
      <c r="K514" s="2"/>
      <c r="N514" s="2"/>
    </row>
    <row r="515" spans="9:14">
      <c r="I515" s="2"/>
      <c r="J515" s="2"/>
      <c r="K515" s="2"/>
      <c r="N515" s="2"/>
    </row>
    <row r="516" spans="9:14">
      <c r="I516" s="2"/>
      <c r="J516" s="2"/>
      <c r="K516" s="2"/>
      <c r="N516" s="2"/>
    </row>
    <row r="517" spans="9:14">
      <c r="I517" s="2"/>
      <c r="J517" s="2"/>
      <c r="K517" s="2"/>
      <c r="N517" s="2"/>
    </row>
    <row r="518" spans="9:14">
      <c r="I518" s="2"/>
      <c r="J518" s="2"/>
      <c r="K518" s="2"/>
      <c r="N518" s="2"/>
    </row>
    <row r="519" spans="9:14">
      <c r="I519" s="2"/>
      <c r="J519" s="2"/>
      <c r="K519" s="2"/>
      <c r="N519" s="2"/>
    </row>
    <row r="520" spans="9:14">
      <c r="I520" s="2"/>
      <c r="J520" s="2"/>
      <c r="K520" s="2"/>
      <c r="N520" s="2"/>
    </row>
    <row r="521" spans="9:14">
      <c r="I521" s="2"/>
      <c r="J521" s="2"/>
      <c r="K521" s="2"/>
      <c r="N521" s="2"/>
    </row>
    <row r="522" spans="9:14">
      <c r="I522" s="2"/>
      <c r="J522" s="2"/>
      <c r="K522" s="2"/>
      <c r="N522" s="2"/>
    </row>
    <row r="523" spans="9:14">
      <c r="I523" s="2"/>
      <c r="J523" s="2"/>
      <c r="K523" s="2"/>
      <c r="N523" s="2"/>
    </row>
    <row r="524" spans="9:14">
      <c r="I524" s="2"/>
      <c r="J524" s="2"/>
      <c r="K524" s="2"/>
      <c r="N524" s="2"/>
    </row>
    <row r="525" spans="9:14">
      <c r="I525" s="2"/>
      <c r="J525" s="2"/>
      <c r="K525" s="2"/>
      <c r="N525" s="2"/>
    </row>
    <row r="526" spans="9:14">
      <c r="I526" s="2"/>
      <c r="J526" s="2"/>
      <c r="K526" s="2"/>
      <c r="N526" s="2"/>
    </row>
    <row r="527" spans="9:14">
      <c r="I527" s="2"/>
      <c r="J527" s="2"/>
      <c r="K527" s="2"/>
      <c r="N527" s="2"/>
    </row>
    <row r="528" spans="9:14">
      <c r="I528" s="2"/>
      <c r="J528" s="2"/>
      <c r="K528" s="2"/>
      <c r="N528" s="2"/>
    </row>
    <row r="529" spans="9:14">
      <c r="I529" s="2"/>
      <c r="J529" s="2"/>
      <c r="K529" s="2"/>
      <c r="N529" s="2"/>
    </row>
    <row r="530" spans="9:14">
      <c r="I530" s="2"/>
      <c r="J530" s="2"/>
      <c r="K530" s="2"/>
      <c r="N530" s="2"/>
    </row>
    <row r="531" spans="9:14">
      <c r="I531" s="2"/>
      <c r="J531" s="2"/>
      <c r="K531" s="2"/>
      <c r="N531" s="2"/>
    </row>
    <row r="532" spans="9:14">
      <c r="I532" s="2"/>
      <c r="J532" s="2"/>
      <c r="K532" s="2"/>
      <c r="N532" s="2"/>
    </row>
    <row r="533" spans="9:14">
      <c r="I533" s="2"/>
      <c r="J533" s="2"/>
      <c r="K533" s="2"/>
      <c r="N533" s="2"/>
    </row>
    <row r="534" spans="9:14">
      <c r="I534" s="2"/>
      <c r="J534" s="2"/>
      <c r="K534" s="2"/>
      <c r="N534" s="2"/>
    </row>
    <row r="535" spans="9:14">
      <c r="I535" s="2"/>
      <c r="J535" s="2"/>
      <c r="K535" s="2"/>
      <c r="N535" s="2"/>
    </row>
    <row r="536" spans="9:14">
      <c r="I536" s="2"/>
      <c r="J536" s="2"/>
      <c r="K536" s="2"/>
      <c r="N536" s="2"/>
    </row>
    <row r="537" spans="9:14">
      <c r="I537" s="2"/>
      <c r="J537" s="2"/>
      <c r="K537" s="2"/>
      <c r="N537" s="2"/>
    </row>
    <row r="538" spans="9:14">
      <c r="I538" s="2"/>
      <c r="J538" s="2"/>
      <c r="K538" s="2"/>
      <c r="N538" s="2"/>
    </row>
    <row r="539" spans="9:14">
      <c r="I539" s="2"/>
      <c r="J539" s="2"/>
      <c r="K539" s="2"/>
      <c r="N539" s="2"/>
    </row>
    <row r="540" spans="9:14">
      <c r="I540" s="2"/>
      <c r="J540" s="2"/>
      <c r="K540" s="2"/>
      <c r="N540" s="2"/>
    </row>
    <row r="541" spans="9:14">
      <c r="I541" s="2"/>
      <c r="J541" s="2"/>
      <c r="K541" s="2"/>
      <c r="N541" s="2"/>
    </row>
    <row r="542" spans="9:14">
      <c r="I542" s="2"/>
      <c r="J542" s="2"/>
      <c r="K542" s="2"/>
      <c r="N542" s="2"/>
    </row>
    <row r="543" spans="9:14">
      <c r="I543" s="2"/>
      <c r="J543" s="2"/>
      <c r="K543" s="2"/>
      <c r="N543" s="2"/>
    </row>
    <row r="544" spans="9:14">
      <c r="I544" s="2"/>
      <c r="J544" s="2"/>
      <c r="K544" s="2"/>
      <c r="N544" s="2"/>
    </row>
    <row r="545" spans="9:14">
      <c r="I545" s="2"/>
      <c r="J545" s="2"/>
      <c r="K545" s="2"/>
      <c r="N545" s="2"/>
    </row>
    <row r="546" spans="9:14">
      <c r="I546" s="2"/>
      <c r="J546" s="2"/>
      <c r="K546" s="2"/>
      <c r="N546" s="2"/>
    </row>
    <row r="547" spans="9:14">
      <c r="I547" s="2"/>
      <c r="J547" s="2"/>
      <c r="K547" s="2"/>
      <c r="N547" s="2"/>
    </row>
    <row r="548" spans="9:14">
      <c r="I548" s="2"/>
      <c r="J548" s="2"/>
      <c r="K548" s="2"/>
      <c r="N548" s="2"/>
    </row>
    <row r="549" spans="9:14">
      <c r="I549" s="2"/>
      <c r="J549" s="2"/>
      <c r="K549" s="2"/>
      <c r="N549" s="2"/>
    </row>
    <row r="550" spans="9:14">
      <c r="I550" s="2"/>
      <c r="J550" s="2"/>
      <c r="K550" s="2"/>
      <c r="N550" s="2"/>
    </row>
    <row r="551" spans="9:14">
      <c r="I551" s="2"/>
      <c r="J551" s="2"/>
      <c r="K551" s="2"/>
      <c r="N551" s="2"/>
    </row>
    <row r="552" spans="9:14">
      <c r="I552" s="2"/>
      <c r="J552" s="2"/>
      <c r="K552" s="2"/>
      <c r="N552" s="2"/>
    </row>
    <row r="553" spans="9:14">
      <c r="I553" s="2"/>
      <c r="J553" s="2"/>
      <c r="K553" s="2"/>
      <c r="N553" s="2"/>
    </row>
    <row r="554" spans="9:14">
      <c r="I554" s="2"/>
      <c r="J554" s="2"/>
      <c r="K554" s="2"/>
      <c r="N554" s="2"/>
    </row>
    <row r="555" spans="9:14">
      <c r="I555" s="2"/>
      <c r="J555" s="2"/>
      <c r="K555" s="2"/>
      <c r="N555" s="2"/>
    </row>
    <row r="556" spans="9:14">
      <c r="I556" s="2"/>
      <c r="J556" s="2"/>
      <c r="K556" s="2"/>
      <c r="N556" s="2"/>
    </row>
    <row r="557" spans="9:14">
      <c r="I557" s="2"/>
      <c r="J557" s="2"/>
      <c r="K557" s="2"/>
      <c r="N557" s="2"/>
    </row>
    <row r="558" spans="9:14">
      <c r="I558" s="2"/>
      <c r="J558" s="2"/>
      <c r="K558" s="2"/>
      <c r="N558" s="2"/>
    </row>
    <row r="559" spans="9:14">
      <c r="I559" s="2"/>
      <c r="J559" s="2"/>
      <c r="K559" s="2"/>
      <c r="N559" s="2"/>
    </row>
    <row r="560" spans="9:14">
      <c r="I560" s="2"/>
      <c r="J560" s="2"/>
      <c r="K560" s="2"/>
      <c r="N560" s="2"/>
    </row>
    <row r="561" spans="9:14">
      <c r="I561" s="2"/>
      <c r="J561" s="2"/>
      <c r="K561" s="2"/>
      <c r="N561" s="2"/>
    </row>
    <row r="562" spans="9:14">
      <c r="I562" s="2"/>
      <c r="J562" s="2"/>
      <c r="K562" s="2"/>
      <c r="N562" s="2"/>
    </row>
    <row r="563" spans="9:14">
      <c r="I563" s="2"/>
      <c r="J563" s="2"/>
      <c r="K563" s="2"/>
      <c r="N563" s="2"/>
    </row>
    <row r="564" spans="9:14">
      <c r="I564" s="2"/>
      <c r="J564" s="2"/>
      <c r="K564" s="2"/>
      <c r="N564" s="2"/>
    </row>
    <row r="565" spans="9:14">
      <c r="I565" s="2"/>
      <c r="J565" s="2"/>
      <c r="K565" s="2"/>
      <c r="N565" s="2"/>
    </row>
    <row r="566" spans="9:14">
      <c r="I566" s="2"/>
      <c r="J566" s="2"/>
      <c r="K566" s="2"/>
      <c r="N566" s="2"/>
    </row>
    <row r="567" spans="9:14">
      <c r="I567" s="2"/>
      <c r="J567" s="2"/>
      <c r="K567" s="2"/>
      <c r="N567" s="2"/>
    </row>
    <row r="568" spans="9:14">
      <c r="I568" s="2"/>
      <c r="J568" s="2"/>
      <c r="K568" s="2"/>
      <c r="N568" s="2"/>
    </row>
    <row r="569" spans="9:14">
      <c r="I569" s="2"/>
      <c r="J569" s="2"/>
      <c r="K569" s="2"/>
      <c r="N569" s="2"/>
    </row>
    <row r="570" spans="9:14">
      <c r="I570" s="2"/>
      <c r="J570" s="2"/>
      <c r="K570" s="2"/>
      <c r="N570" s="2"/>
    </row>
    <row r="571" spans="9:14">
      <c r="I571" s="2"/>
      <c r="J571" s="2"/>
      <c r="K571" s="2"/>
      <c r="N571" s="2"/>
    </row>
    <row r="572" spans="9:14">
      <c r="I572" s="2"/>
      <c r="J572" s="2"/>
      <c r="K572" s="2"/>
      <c r="N572" s="2"/>
    </row>
    <row r="573" spans="9:14">
      <c r="I573" s="2"/>
      <c r="J573" s="2"/>
      <c r="K573" s="2"/>
      <c r="N573" s="2"/>
    </row>
    <row r="574" spans="9:14">
      <c r="I574" s="2"/>
      <c r="J574" s="2"/>
      <c r="K574" s="2"/>
      <c r="N574" s="2"/>
    </row>
    <row r="575" spans="9:14">
      <c r="I575" s="2"/>
      <c r="J575" s="2"/>
      <c r="K575" s="2"/>
      <c r="N575" s="2"/>
    </row>
    <row r="576" spans="9:14">
      <c r="I576" s="2"/>
      <c r="J576" s="2"/>
      <c r="K576" s="2"/>
      <c r="N576" s="2"/>
    </row>
    <row r="577" spans="9:14">
      <c r="I577" s="2"/>
      <c r="J577" s="2"/>
      <c r="K577" s="2"/>
      <c r="N577" s="2"/>
    </row>
    <row r="578" spans="9:14">
      <c r="I578" s="2"/>
      <c r="J578" s="2"/>
      <c r="K578" s="2"/>
      <c r="N578" s="2"/>
    </row>
    <row r="579" spans="9:14">
      <c r="I579" s="2"/>
      <c r="J579" s="2"/>
      <c r="K579" s="2"/>
      <c r="N579" s="2"/>
    </row>
    <row r="580" spans="9:14">
      <c r="I580" s="2"/>
      <c r="J580" s="2"/>
      <c r="K580" s="2"/>
      <c r="N580" s="2"/>
    </row>
    <row r="581" spans="9:14">
      <c r="I581" s="2"/>
      <c r="J581" s="2"/>
      <c r="K581" s="2"/>
      <c r="N581" s="2"/>
    </row>
    <row r="582" spans="9:14">
      <c r="I582" s="2"/>
      <c r="J582" s="2"/>
      <c r="K582" s="2"/>
      <c r="N582" s="2"/>
    </row>
    <row r="583" spans="9:14">
      <c r="I583" s="2"/>
      <c r="J583" s="2"/>
      <c r="K583" s="2"/>
      <c r="N583" s="2"/>
    </row>
    <row r="584" spans="9:14">
      <c r="I584" s="2"/>
      <c r="J584" s="2"/>
      <c r="K584" s="2"/>
      <c r="N584" s="2"/>
    </row>
    <row r="585" spans="9:14">
      <c r="I585" s="2"/>
      <c r="J585" s="2"/>
      <c r="K585" s="2"/>
      <c r="N585" s="2"/>
    </row>
    <row r="586" spans="9:14">
      <c r="I586" s="2"/>
      <c r="J586" s="2"/>
      <c r="K586" s="2"/>
      <c r="N586" s="2"/>
    </row>
    <row r="587" spans="9:14">
      <c r="I587" s="2"/>
      <c r="J587" s="2"/>
      <c r="K587" s="2"/>
      <c r="N587" s="2"/>
    </row>
    <row r="588" spans="9:14">
      <c r="I588" s="2"/>
      <c r="J588" s="2"/>
      <c r="K588" s="2"/>
      <c r="N588" s="2"/>
    </row>
    <row r="589" spans="9:14">
      <c r="I589" s="2"/>
      <c r="J589" s="2"/>
      <c r="K589" s="2"/>
      <c r="N589" s="2"/>
    </row>
    <row r="590" spans="9:14">
      <c r="I590" s="2"/>
      <c r="J590" s="2"/>
      <c r="K590" s="2"/>
      <c r="N590" s="2"/>
    </row>
    <row r="591" spans="9:14">
      <c r="I591" s="2"/>
      <c r="J591" s="2"/>
      <c r="K591" s="2"/>
      <c r="N591" s="2"/>
    </row>
    <row r="592" spans="9:14">
      <c r="I592" s="2"/>
      <c r="J592" s="2"/>
      <c r="K592" s="2"/>
      <c r="N592" s="2"/>
    </row>
    <row r="593" spans="9:14">
      <c r="I593" s="2"/>
      <c r="J593" s="2"/>
      <c r="K593" s="2"/>
      <c r="N593" s="2"/>
    </row>
    <row r="594" spans="9:14">
      <c r="I594" s="2"/>
      <c r="J594" s="2"/>
      <c r="K594" s="2"/>
      <c r="N594" s="2"/>
    </row>
    <row r="595" spans="9:14">
      <c r="I595" s="2"/>
      <c r="J595" s="2"/>
      <c r="K595" s="2"/>
      <c r="N595" s="2"/>
    </row>
    <row r="596" spans="9:14">
      <c r="I596" s="2"/>
      <c r="J596" s="2"/>
      <c r="K596" s="2"/>
      <c r="N596" s="2"/>
    </row>
    <row r="597" spans="9:14">
      <c r="I597" s="2"/>
      <c r="J597" s="2"/>
      <c r="K597" s="2"/>
      <c r="N597" s="2"/>
    </row>
    <row r="598" spans="9:14">
      <c r="I598" s="2"/>
      <c r="J598" s="2"/>
      <c r="K598" s="2"/>
      <c r="N598" s="2"/>
    </row>
    <row r="599" spans="9:14">
      <c r="I599" s="2"/>
      <c r="J599" s="2"/>
      <c r="K599" s="2"/>
      <c r="N599" s="2"/>
    </row>
    <row r="600" spans="9:14">
      <c r="I600" s="2"/>
      <c r="J600" s="2"/>
      <c r="K600" s="2"/>
      <c r="N600" s="2"/>
    </row>
    <row r="601" spans="9:14">
      <c r="I601" s="2"/>
      <c r="J601" s="2"/>
      <c r="K601" s="2"/>
      <c r="N601" s="2"/>
    </row>
    <row r="602" spans="9:14">
      <c r="I602" s="2"/>
      <c r="J602" s="2"/>
      <c r="K602" s="2"/>
      <c r="N602" s="2"/>
    </row>
    <row r="603" spans="9:14">
      <c r="I603" s="2"/>
      <c r="J603" s="2"/>
      <c r="K603" s="2"/>
      <c r="N603" s="2"/>
    </row>
    <row r="604" spans="9:14">
      <c r="I604" s="2"/>
      <c r="J604" s="2"/>
      <c r="K604" s="2"/>
      <c r="N604" s="2"/>
    </row>
    <row r="605" spans="9:14">
      <c r="I605" s="2"/>
      <c r="J605" s="2"/>
      <c r="K605" s="2"/>
      <c r="N605" s="2"/>
    </row>
    <row r="606" spans="9:14">
      <c r="I606" s="2"/>
      <c r="J606" s="2"/>
      <c r="K606" s="2"/>
      <c r="N606" s="2"/>
    </row>
    <row r="607" spans="9:14">
      <c r="I607" s="2"/>
      <c r="J607" s="2"/>
      <c r="K607" s="2"/>
      <c r="N607" s="2"/>
    </row>
    <row r="608" spans="9:14">
      <c r="I608" s="2"/>
      <c r="J608" s="2"/>
      <c r="K608" s="2"/>
      <c r="N608" s="2"/>
    </row>
    <row r="609" spans="9:14">
      <c r="I609" s="2"/>
      <c r="J609" s="2"/>
      <c r="K609" s="2"/>
      <c r="N609" s="2"/>
    </row>
    <row r="610" spans="9:14">
      <c r="I610" s="2"/>
      <c r="J610" s="2"/>
      <c r="K610" s="2"/>
      <c r="N610" s="2"/>
    </row>
    <row r="611" spans="9:14">
      <c r="I611" s="2"/>
      <c r="J611" s="2"/>
      <c r="K611" s="2"/>
      <c r="N611" s="2"/>
    </row>
    <row r="612" spans="9:14">
      <c r="I612" s="2"/>
      <c r="J612" s="2"/>
      <c r="K612" s="2"/>
      <c r="N612" s="2"/>
    </row>
    <row r="613" spans="9:14">
      <c r="I613" s="2"/>
      <c r="J613" s="2"/>
      <c r="K613" s="2"/>
      <c r="N613" s="2"/>
    </row>
    <row r="614" spans="9:14">
      <c r="I614" s="2"/>
      <c r="J614" s="2"/>
      <c r="K614" s="2"/>
      <c r="N614" s="2"/>
    </row>
    <row r="615" spans="9:14">
      <c r="I615" s="2"/>
      <c r="J615" s="2"/>
      <c r="K615" s="2"/>
      <c r="N615" s="2"/>
    </row>
    <row r="616" spans="9:14">
      <c r="I616" s="2"/>
      <c r="J616" s="2"/>
      <c r="K616" s="2"/>
      <c r="N616" s="2"/>
    </row>
    <row r="617" spans="9:14">
      <c r="I617" s="2"/>
      <c r="J617" s="2"/>
      <c r="K617" s="2"/>
      <c r="N617" s="2"/>
    </row>
    <row r="618" spans="9:14">
      <c r="I618" s="2"/>
      <c r="J618" s="2"/>
      <c r="K618" s="2"/>
      <c r="N618" s="2"/>
    </row>
    <row r="619" spans="9:14">
      <c r="I619" s="2"/>
      <c r="J619" s="2"/>
      <c r="K619" s="2"/>
      <c r="N619" s="2"/>
    </row>
    <row r="620" spans="9:14">
      <c r="I620" s="2"/>
      <c r="J620" s="2"/>
      <c r="K620" s="2"/>
      <c r="N620" s="2"/>
    </row>
    <row r="621" spans="9:14">
      <c r="I621" s="2"/>
      <c r="J621" s="2"/>
      <c r="K621" s="2"/>
      <c r="N621" s="2"/>
    </row>
    <row r="622" spans="9:14">
      <c r="I622" s="2"/>
      <c r="J622" s="2"/>
      <c r="K622" s="2"/>
      <c r="N622" s="2"/>
    </row>
    <row r="623" spans="9:14">
      <c r="I623" s="2"/>
      <c r="J623" s="2"/>
      <c r="K623" s="2"/>
      <c r="N623" s="2"/>
    </row>
    <row r="624" spans="9:14">
      <c r="I624" s="2"/>
      <c r="J624" s="2"/>
      <c r="K624" s="2"/>
      <c r="N624" s="2"/>
    </row>
    <row r="625" spans="9:14">
      <c r="I625" s="2"/>
      <c r="J625" s="2"/>
      <c r="K625" s="2"/>
      <c r="N625" s="2"/>
    </row>
    <row r="626" spans="9:14">
      <c r="I626" s="2"/>
      <c r="J626" s="2"/>
      <c r="K626" s="2"/>
      <c r="N626" s="2"/>
    </row>
    <row r="627" spans="9:14">
      <c r="I627" s="2"/>
      <c r="J627" s="2"/>
      <c r="K627" s="2"/>
      <c r="N627" s="2"/>
    </row>
    <row r="628" spans="9:14">
      <c r="I628" s="2"/>
      <c r="J628" s="2"/>
      <c r="K628" s="2"/>
      <c r="N628" s="2"/>
    </row>
    <row r="629" spans="9:14">
      <c r="I629" s="2"/>
      <c r="J629" s="2"/>
      <c r="K629" s="2"/>
      <c r="N629" s="2"/>
    </row>
    <row r="630" spans="9:14">
      <c r="I630" s="2"/>
      <c r="J630" s="2"/>
      <c r="K630" s="2"/>
      <c r="N630" s="2"/>
    </row>
    <row r="631" spans="9:14">
      <c r="I631" s="2"/>
      <c r="J631" s="2"/>
      <c r="K631" s="2"/>
      <c r="N631" s="2"/>
    </row>
    <row r="632" spans="9:14">
      <c r="I632" s="2"/>
      <c r="J632" s="2"/>
      <c r="K632" s="2"/>
      <c r="N632" s="2"/>
    </row>
    <row r="633" spans="9:14">
      <c r="I633" s="2"/>
      <c r="J633" s="2"/>
      <c r="K633" s="2"/>
      <c r="N633" s="2"/>
    </row>
    <row r="634" spans="9:14">
      <c r="I634" s="2"/>
      <c r="J634" s="2"/>
      <c r="K634" s="2"/>
      <c r="N634" s="2"/>
    </row>
    <row r="635" spans="9:14">
      <c r="I635" s="2"/>
      <c r="J635" s="2"/>
      <c r="K635" s="2"/>
      <c r="N635" s="2"/>
    </row>
    <row r="636" spans="9:14">
      <c r="I636" s="2"/>
      <c r="J636" s="2"/>
      <c r="K636" s="2"/>
      <c r="N636" s="2"/>
    </row>
    <row r="637" spans="9:14">
      <c r="I637" s="2"/>
      <c r="J637" s="2"/>
      <c r="K637" s="2"/>
      <c r="N637" s="2"/>
    </row>
    <row r="638" spans="9:14">
      <c r="I638" s="2"/>
      <c r="J638" s="2"/>
      <c r="K638" s="2"/>
      <c r="N638" s="2"/>
    </row>
    <row r="639" spans="9:14">
      <c r="I639" s="2"/>
      <c r="J639" s="2"/>
      <c r="K639" s="2"/>
      <c r="N639" s="2"/>
    </row>
    <row r="640" spans="9:14">
      <c r="I640" s="2"/>
      <c r="J640" s="2"/>
      <c r="K640" s="2"/>
      <c r="N640" s="2"/>
    </row>
    <row r="641" spans="9:14">
      <c r="I641" s="2"/>
      <c r="J641" s="2"/>
      <c r="K641" s="2"/>
      <c r="N641" s="2"/>
    </row>
    <row r="642" spans="9:14">
      <c r="I642" s="2"/>
      <c r="J642" s="2"/>
      <c r="K642" s="2"/>
      <c r="N642" s="2"/>
    </row>
    <row r="643" spans="9:14">
      <c r="I643" s="2"/>
      <c r="J643" s="2"/>
      <c r="K643" s="2"/>
      <c r="N643" s="2"/>
    </row>
    <row r="644" spans="9:14">
      <c r="I644" s="2"/>
      <c r="J644" s="2"/>
      <c r="K644" s="2"/>
      <c r="N644" s="2"/>
    </row>
    <row r="645" spans="9:14">
      <c r="I645" s="2"/>
      <c r="J645" s="2"/>
      <c r="K645" s="2"/>
      <c r="N645" s="2"/>
    </row>
    <row r="646" spans="9:14">
      <c r="I646" s="2"/>
      <c r="J646" s="2"/>
      <c r="K646" s="2"/>
      <c r="N646" s="2"/>
    </row>
    <row r="647" spans="9:14">
      <c r="I647" s="2"/>
      <c r="J647" s="2"/>
      <c r="K647" s="2"/>
      <c r="N647" s="2"/>
    </row>
    <row r="648" spans="9:14">
      <c r="I648" s="2"/>
      <c r="J648" s="2"/>
      <c r="K648" s="2"/>
      <c r="N648" s="2"/>
    </row>
    <row r="649" spans="9:14">
      <c r="I649" s="2"/>
      <c r="J649" s="2"/>
      <c r="K649" s="2"/>
      <c r="N649" s="2"/>
    </row>
    <row r="650" spans="9:14">
      <c r="I650" s="2"/>
      <c r="J650" s="2"/>
      <c r="K650" s="2"/>
      <c r="N650" s="2"/>
    </row>
    <row r="651" spans="9:14">
      <c r="I651" s="2"/>
      <c r="J651" s="2"/>
      <c r="K651" s="2"/>
      <c r="N651" s="2"/>
    </row>
    <row r="652" spans="9:14">
      <c r="I652" s="2"/>
      <c r="J652" s="2"/>
      <c r="K652" s="2"/>
      <c r="N652" s="2"/>
    </row>
    <row r="653" spans="9:14">
      <c r="I653" s="2"/>
      <c r="J653" s="2"/>
      <c r="K653" s="2"/>
      <c r="N653" s="2"/>
    </row>
    <row r="654" spans="9:14">
      <c r="I654" s="2"/>
      <c r="J654" s="2"/>
      <c r="K654" s="2"/>
      <c r="N654" s="2"/>
    </row>
    <row r="655" spans="9:14">
      <c r="I655" s="2"/>
      <c r="J655" s="2"/>
      <c r="K655" s="2"/>
      <c r="N655" s="2"/>
    </row>
    <row r="656" spans="9:14">
      <c r="I656" s="2"/>
      <c r="J656" s="2"/>
      <c r="K656" s="2"/>
      <c r="N656" s="2"/>
    </row>
    <row r="657" spans="9:14">
      <c r="I657" s="2"/>
      <c r="J657" s="2"/>
      <c r="K657" s="2"/>
      <c r="N657" s="2"/>
    </row>
    <row r="658" spans="9:14">
      <c r="I658" s="2"/>
      <c r="J658" s="2"/>
      <c r="K658" s="2"/>
      <c r="N658" s="2"/>
    </row>
    <row r="659" spans="9:14">
      <c r="I659" s="2"/>
      <c r="J659" s="2"/>
      <c r="K659" s="2"/>
      <c r="N659" s="2"/>
    </row>
    <row r="660" spans="9:14">
      <c r="I660" s="2"/>
      <c r="J660" s="2"/>
      <c r="K660" s="2"/>
      <c r="N660" s="2"/>
    </row>
    <row r="661" spans="9:14">
      <c r="I661" s="2"/>
      <c r="J661" s="2"/>
      <c r="K661" s="2"/>
      <c r="N661" s="2"/>
    </row>
    <row r="662" spans="9:14">
      <c r="I662" s="2"/>
      <c r="J662" s="2"/>
      <c r="K662" s="2"/>
      <c r="N662" s="2"/>
    </row>
    <row r="663" spans="9:14">
      <c r="I663" s="2"/>
      <c r="J663" s="2"/>
      <c r="K663" s="2"/>
      <c r="N663" s="2"/>
    </row>
    <row r="664" spans="9:14">
      <c r="I664" s="2"/>
      <c r="J664" s="2"/>
      <c r="K664" s="2"/>
      <c r="N664" s="2"/>
    </row>
    <row r="665" spans="9:14">
      <c r="I665" s="2"/>
      <c r="J665" s="2"/>
      <c r="K665" s="2"/>
      <c r="N665" s="2"/>
    </row>
    <row r="666" spans="9:14">
      <c r="I666" s="2"/>
      <c r="J666" s="2"/>
      <c r="K666" s="2"/>
      <c r="N666" s="2"/>
    </row>
    <row r="667" spans="9:14">
      <c r="I667" s="2"/>
      <c r="J667" s="2"/>
      <c r="K667" s="2"/>
      <c r="N667" s="2"/>
    </row>
    <row r="668" spans="9:14">
      <c r="I668" s="2"/>
      <c r="J668" s="2"/>
      <c r="K668" s="2"/>
      <c r="N668" s="2"/>
    </row>
    <row r="669" spans="9:14">
      <c r="I669" s="2"/>
      <c r="J669" s="2"/>
      <c r="K669" s="2"/>
      <c r="N669" s="2"/>
    </row>
    <row r="670" spans="9:14">
      <c r="I670" s="2"/>
      <c r="J670" s="2"/>
      <c r="K670" s="2"/>
      <c r="N670" s="2"/>
    </row>
    <row r="671" spans="9:14">
      <c r="I671" s="2"/>
      <c r="J671" s="2"/>
      <c r="K671" s="2"/>
      <c r="N671" s="2"/>
    </row>
    <row r="672" spans="9:14">
      <c r="I672" s="2"/>
      <c r="J672" s="2"/>
      <c r="K672" s="2"/>
      <c r="N672" s="2"/>
    </row>
    <row r="673" spans="9:14">
      <c r="I673" s="2"/>
      <c r="J673" s="2"/>
      <c r="K673" s="2"/>
      <c r="N673" s="2"/>
    </row>
    <row r="674" spans="9:14">
      <c r="I674" s="2"/>
      <c r="J674" s="2"/>
      <c r="K674" s="2"/>
      <c r="N674" s="2"/>
    </row>
    <row r="675" spans="9:14">
      <c r="I675" s="2"/>
      <c r="J675" s="2"/>
      <c r="K675" s="2"/>
      <c r="N675" s="2"/>
    </row>
    <row r="676" spans="9:14">
      <c r="I676" s="2"/>
      <c r="J676" s="2"/>
      <c r="K676" s="2"/>
      <c r="N676" s="2"/>
    </row>
    <row r="677" spans="9:14">
      <c r="I677" s="2"/>
      <c r="J677" s="2"/>
      <c r="K677" s="2"/>
      <c r="N677" s="2"/>
    </row>
    <row r="678" spans="9:14">
      <c r="I678" s="2"/>
      <c r="J678" s="2"/>
      <c r="K678" s="2"/>
      <c r="N678" s="2"/>
    </row>
    <row r="679" spans="9:14">
      <c r="I679" s="2"/>
      <c r="J679" s="2"/>
      <c r="K679" s="2"/>
      <c r="N679" s="2"/>
    </row>
    <row r="680" spans="9:14">
      <c r="I680" s="2"/>
      <c r="J680" s="2"/>
      <c r="K680" s="2"/>
      <c r="N680" s="2"/>
    </row>
    <row r="681" spans="9:14">
      <c r="I681" s="2"/>
      <c r="J681" s="2"/>
      <c r="K681" s="2"/>
      <c r="N681" s="2"/>
    </row>
    <row r="682" spans="9:14">
      <c r="I682" s="2"/>
      <c r="J682" s="2"/>
      <c r="K682" s="2"/>
      <c r="N682" s="2"/>
    </row>
    <row r="683" spans="9:14">
      <c r="I683" s="2"/>
      <c r="J683" s="2"/>
      <c r="K683" s="2"/>
      <c r="N683" s="2"/>
    </row>
    <row r="684" spans="9:14">
      <c r="I684" s="2"/>
      <c r="J684" s="2"/>
      <c r="K684" s="2"/>
      <c r="N684" s="2"/>
    </row>
    <row r="685" spans="9:14">
      <c r="I685" s="2"/>
      <c r="J685" s="2"/>
      <c r="K685" s="2"/>
      <c r="N685" s="2"/>
    </row>
    <row r="686" spans="9:14">
      <c r="I686" s="2"/>
      <c r="J686" s="2"/>
      <c r="K686" s="2"/>
      <c r="N686" s="2"/>
    </row>
    <row r="687" spans="9:14">
      <c r="I687" s="2"/>
      <c r="J687" s="2"/>
      <c r="K687" s="2"/>
      <c r="N687" s="2"/>
    </row>
    <row r="688" spans="9:14">
      <c r="I688" s="2"/>
      <c r="J688" s="2"/>
      <c r="K688" s="2"/>
      <c r="N688" s="2"/>
    </row>
    <row r="689" spans="9:14">
      <c r="I689" s="2"/>
      <c r="J689" s="2"/>
      <c r="K689" s="2"/>
      <c r="N689" s="2"/>
    </row>
    <row r="690" spans="9:14">
      <c r="I690" s="2"/>
      <c r="J690" s="2"/>
      <c r="K690" s="2"/>
      <c r="N690" s="2"/>
    </row>
    <row r="691" spans="9:14">
      <c r="I691" s="2"/>
      <c r="J691" s="2"/>
      <c r="K691" s="2"/>
      <c r="N691" s="2"/>
    </row>
    <row r="692" spans="9:14">
      <c r="I692" s="2"/>
      <c r="J692" s="2"/>
      <c r="K692" s="2"/>
      <c r="N692" s="2"/>
    </row>
    <row r="693" spans="9:14">
      <c r="I693" s="2"/>
      <c r="J693" s="2"/>
      <c r="K693" s="2"/>
      <c r="N693" s="2"/>
    </row>
    <row r="694" spans="9:14">
      <c r="I694" s="2"/>
      <c r="J694" s="2"/>
      <c r="K694" s="2"/>
      <c r="N694" s="2"/>
    </row>
    <row r="695" spans="9:14">
      <c r="I695" s="2"/>
      <c r="J695" s="2"/>
      <c r="K695" s="2"/>
      <c r="N695" s="2"/>
    </row>
    <row r="696" spans="9:14">
      <c r="I696" s="2"/>
      <c r="J696" s="2"/>
      <c r="K696" s="2"/>
      <c r="N696" s="2"/>
    </row>
    <row r="697" spans="9:14">
      <c r="I697" s="2"/>
      <c r="J697" s="2"/>
      <c r="K697" s="2"/>
      <c r="N697" s="2"/>
    </row>
    <row r="698" spans="9:14">
      <c r="I698" s="2"/>
      <c r="J698" s="2"/>
      <c r="K698" s="2"/>
      <c r="N698" s="2"/>
    </row>
    <row r="699" spans="9:14">
      <c r="I699" s="2"/>
      <c r="J699" s="2"/>
      <c r="K699" s="2"/>
      <c r="N699" s="2"/>
    </row>
    <row r="700" spans="9:14">
      <c r="I700" s="2"/>
      <c r="J700" s="2"/>
      <c r="K700" s="2"/>
      <c r="N700" s="2"/>
    </row>
    <row r="701" spans="9:14">
      <c r="I701" s="2"/>
      <c r="J701" s="2"/>
      <c r="K701" s="2"/>
      <c r="N701" s="2"/>
    </row>
    <row r="702" spans="9:14">
      <c r="I702" s="2"/>
      <c r="J702" s="2"/>
      <c r="K702" s="2"/>
      <c r="N702" s="2"/>
    </row>
    <row r="703" spans="9:14">
      <c r="I703" s="2"/>
      <c r="J703" s="2"/>
      <c r="K703" s="2"/>
      <c r="N703" s="2"/>
    </row>
    <row r="704" spans="9:14">
      <c r="I704" s="2"/>
      <c r="J704" s="2"/>
      <c r="K704" s="2"/>
      <c r="N704" s="2"/>
    </row>
    <row r="705" spans="9:14">
      <c r="I705" s="2"/>
      <c r="J705" s="2"/>
      <c r="K705" s="2"/>
      <c r="N705" s="2"/>
    </row>
    <row r="706" spans="9:14">
      <c r="I706" s="2"/>
      <c r="J706" s="2"/>
      <c r="K706" s="2"/>
      <c r="N706" s="2"/>
    </row>
    <row r="707" spans="9:14">
      <c r="I707" s="2"/>
      <c r="J707" s="2"/>
      <c r="K707" s="2"/>
      <c r="N707" s="2"/>
    </row>
    <row r="708" spans="9:14">
      <c r="I708" s="2"/>
      <c r="J708" s="2"/>
      <c r="K708" s="2"/>
      <c r="N708" s="2"/>
    </row>
    <row r="709" spans="9:14">
      <c r="I709" s="2"/>
      <c r="J709" s="2"/>
      <c r="K709" s="2"/>
      <c r="N709" s="2"/>
    </row>
    <row r="710" spans="9:14">
      <c r="I710" s="2"/>
      <c r="J710" s="2"/>
      <c r="K710" s="2"/>
      <c r="N710" s="2"/>
    </row>
    <row r="711" spans="9:14">
      <c r="I711" s="2"/>
      <c r="J711" s="2"/>
      <c r="K711" s="2"/>
      <c r="N711" s="2"/>
    </row>
    <row r="712" spans="9:14">
      <c r="I712" s="2"/>
      <c r="J712" s="2"/>
      <c r="K712" s="2"/>
      <c r="N712" s="2"/>
    </row>
    <row r="713" spans="9:14">
      <c r="I713" s="2"/>
      <c r="J713" s="2"/>
      <c r="K713" s="2"/>
      <c r="N713" s="2"/>
    </row>
    <row r="714" spans="9:14">
      <c r="I714" s="2"/>
      <c r="J714" s="2"/>
      <c r="K714" s="2"/>
      <c r="N714" s="2"/>
    </row>
    <row r="715" spans="9:14">
      <c r="I715" s="2"/>
      <c r="J715" s="2"/>
      <c r="K715" s="2"/>
      <c r="N715" s="2"/>
    </row>
    <row r="716" spans="9:14">
      <c r="I716" s="2"/>
      <c r="J716" s="2"/>
      <c r="K716" s="2"/>
      <c r="N716" s="2"/>
    </row>
    <row r="717" spans="9:14">
      <c r="I717" s="2"/>
      <c r="J717" s="2"/>
      <c r="K717" s="2"/>
      <c r="N717" s="2"/>
    </row>
    <row r="718" spans="9:14">
      <c r="I718" s="2"/>
      <c r="J718" s="2"/>
      <c r="K718" s="2"/>
      <c r="N718" s="2"/>
    </row>
    <row r="719" spans="9:14">
      <c r="I719" s="2"/>
      <c r="J719" s="2"/>
      <c r="K719" s="2"/>
      <c r="N719" s="2"/>
    </row>
    <row r="720" spans="9:14">
      <c r="I720" s="2"/>
      <c r="J720" s="2"/>
      <c r="K720" s="2"/>
      <c r="N720" s="2"/>
    </row>
    <row r="721" spans="9:14">
      <c r="I721" s="2"/>
      <c r="J721" s="2"/>
      <c r="K721" s="2"/>
      <c r="N721" s="2"/>
    </row>
    <row r="722" spans="9:14">
      <c r="I722" s="2"/>
      <c r="J722" s="2"/>
      <c r="K722" s="2"/>
      <c r="N722" s="2"/>
    </row>
    <row r="723" spans="9:14">
      <c r="I723" s="2"/>
      <c r="J723" s="2"/>
      <c r="K723" s="2"/>
      <c r="N723" s="2"/>
    </row>
    <row r="724" spans="9:14">
      <c r="I724" s="2"/>
      <c r="J724" s="2"/>
      <c r="K724" s="2"/>
      <c r="N724" s="2"/>
    </row>
    <row r="725" spans="9:14">
      <c r="I725" s="2"/>
      <c r="J725" s="2"/>
      <c r="K725" s="2"/>
      <c r="N725" s="2"/>
    </row>
    <row r="726" spans="9:14">
      <c r="I726" s="2"/>
      <c r="J726" s="2"/>
      <c r="K726" s="2"/>
      <c r="N726" s="2"/>
    </row>
    <row r="727" spans="9:14">
      <c r="I727" s="2"/>
      <c r="J727" s="2"/>
      <c r="K727" s="2"/>
      <c r="N727" s="2"/>
    </row>
    <row r="728" spans="9:14">
      <c r="I728" s="2"/>
      <c r="J728" s="2"/>
      <c r="K728" s="2"/>
      <c r="N728" s="2"/>
    </row>
    <row r="729" spans="9:14">
      <c r="I729" s="2"/>
      <c r="J729" s="2"/>
      <c r="K729" s="2"/>
      <c r="N729" s="2"/>
    </row>
    <row r="730" spans="9:14">
      <c r="I730" s="2"/>
      <c r="J730" s="2"/>
      <c r="K730" s="2"/>
      <c r="N730" s="2"/>
    </row>
    <row r="731" spans="9:14">
      <c r="I731" s="2"/>
      <c r="J731" s="2"/>
      <c r="K731" s="2"/>
      <c r="N731" s="2"/>
    </row>
    <row r="732" spans="9:14">
      <c r="I732" s="2"/>
      <c r="J732" s="2"/>
      <c r="K732" s="2"/>
      <c r="N732" s="2"/>
    </row>
    <row r="733" spans="9:14">
      <c r="I733" s="2"/>
      <c r="J733" s="2"/>
      <c r="K733" s="2"/>
      <c r="N733" s="2"/>
    </row>
    <row r="734" spans="9:14">
      <c r="I734" s="2"/>
      <c r="J734" s="2"/>
      <c r="K734" s="2"/>
      <c r="N734" s="2"/>
    </row>
    <row r="735" spans="9:14">
      <c r="I735" s="2"/>
      <c r="J735" s="2"/>
      <c r="K735" s="2"/>
      <c r="N735" s="2"/>
    </row>
    <row r="736" spans="9:14">
      <c r="I736" s="2"/>
      <c r="J736" s="2"/>
      <c r="K736" s="2"/>
      <c r="N736" s="2"/>
    </row>
    <row r="737" spans="9:14">
      <c r="I737" s="2"/>
      <c r="J737" s="2"/>
      <c r="K737" s="2"/>
      <c r="N737" s="2"/>
    </row>
    <row r="738" spans="9:14">
      <c r="I738" s="2"/>
      <c r="J738" s="2"/>
      <c r="K738" s="2"/>
      <c r="N738" s="2"/>
    </row>
    <row r="739" spans="9:14">
      <c r="I739" s="2"/>
      <c r="J739" s="2"/>
      <c r="K739" s="2"/>
      <c r="N739" s="2"/>
    </row>
    <row r="740" spans="9:14">
      <c r="I740" s="2"/>
      <c r="J740" s="2"/>
      <c r="K740" s="2"/>
      <c r="N740" s="2"/>
    </row>
    <row r="741" spans="9:14">
      <c r="I741" s="2"/>
      <c r="J741" s="2"/>
      <c r="K741" s="2"/>
      <c r="N741" s="2"/>
    </row>
    <row r="742" spans="9:14">
      <c r="I742" s="2"/>
      <c r="J742" s="2"/>
      <c r="K742" s="2"/>
      <c r="N742" s="2"/>
    </row>
    <row r="743" spans="9:14">
      <c r="I743" s="2"/>
      <c r="J743" s="2"/>
      <c r="K743" s="2"/>
      <c r="N743" s="2"/>
    </row>
    <row r="744" spans="9:14">
      <c r="I744" s="2"/>
      <c r="J744" s="2"/>
      <c r="K744" s="2"/>
      <c r="N744" s="2"/>
    </row>
    <row r="745" spans="9:14">
      <c r="I745" s="2"/>
      <c r="J745" s="2"/>
      <c r="K745" s="2"/>
      <c r="N745" s="2"/>
    </row>
    <row r="746" spans="9:14">
      <c r="I746" s="2"/>
      <c r="J746" s="2"/>
      <c r="K746" s="2"/>
      <c r="N746" s="2"/>
    </row>
    <row r="747" spans="9:14">
      <c r="I747" s="2"/>
      <c r="J747" s="2"/>
      <c r="K747" s="2"/>
      <c r="N747" s="2"/>
    </row>
    <row r="748" spans="9:14">
      <c r="I748" s="2"/>
      <c r="J748" s="2"/>
      <c r="K748" s="2"/>
      <c r="N748" s="2"/>
    </row>
    <row r="749" spans="9:14">
      <c r="I749" s="2"/>
      <c r="J749" s="2"/>
      <c r="K749" s="2"/>
      <c r="N749" s="2"/>
    </row>
    <row r="750" spans="9:14">
      <c r="I750" s="2"/>
      <c r="J750" s="2"/>
      <c r="K750" s="2"/>
      <c r="N750" s="2"/>
    </row>
    <row r="751" spans="9:14">
      <c r="I751" s="2"/>
      <c r="J751" s="2"/>
      <c r="K751" s="2"/>
      <c r="N751" s="2"/>
    </row>
    <row r="752" spans="9:14">
      <c r="I752" s="2"/>
      <c r="J752" s="2"/>
      <c r="K752" s="2"/>
      <c r="N752" s="2"/>
    </row>
    <row r="753" spans="9:14">
      <c r="I753" s="2"/>
      <c r="J753" s="2"/>
      <c r="K753" s="2"/>
      <c r="N753" s="2"/>
    </row>
    <row r="754" spans="9:14">
      <c r="I754" s="2"/>
      <c r="J754" s="2"/>
      <c r="K754" s="2"/>
      <c r="N754" s="2"/>
    </row>
    <row r="755" spans="9:14">
      <c r="I755" s="2"/>
      <c r="J755" s="2"/>
      <c r="K755" s="2"/>
      <c r="N755" s="2"/>
    </row>
    <row r="756" spans="9:14">
      <c r="I756" s="2"/>
      <c r="J756" s="2"/>
      <c r="K756" s="2"/>
      <c r="N756" s="2"/>
    </row>
    <row r="757" spans="9:14">
      <c r="I757" s="2"/>
      <c r="J757" s="2"/>
      <c r="K757" s="2"/>
      <c r="N757" s="2"/>
    </row>
    <row r="758" spans="9:14">
      <c r="I758" s="2"/>
      <c r="J758" s="2"/>
      <c r="K758" s="2"/>
      <c r="N758" s="2"/>
    </row>
    <row r="759" spans="9:14">
      <c r="I759" s="2"/>
      <c r="J759" s="2"/>
      <c r="K759" s="2"/>
      <c r="N759" s="2"/>
    </row>
    <row r="760" spans="9:14">
      <c r="I760" s="2"/>
      <c r="J760" s="2"/>
      <c r="K760" s="2"/>
      <c r="N760" s="2"/>
    </row>
    <row r="761" spans="9:14">
      <c r="I761" s="2"/>
      <c r="J761" s="2"/>
      <c r="K761" s="2"/>
      <c r="N761" s="2"/>
    </row>
    <row r="762" spans="9:14">
      <c r="I762" s="2"/>
      <c r="J762" s="2"/>
      <c r="K762" s="2"/>
      <c r="N762" s="2"/>
    </row>
    <row r="763" spans="9:14">
      <c r="I763" s="2"/>
      <c r="J763" s="2"/>
      <c r="K763" s="2"/>
      <c r="N763" s="2"/>
    </row>
    <row r="764" spans="9:14">
      <c r="I764" s="2"/>
      <c r="J764" s="2"/>
      <c r="K764" s="2"/>
      <c r="N764" s="2"/>
    </row>
    <row r="765" spans="9:14">
      <c r="I765" s="2"/>
      <c r="J765" s="2"/>
      <c r="K765" s="2"/>
      <c r="N765" s="2"/>
    </row>
    <row r="766" spans="9:14">
      <c r="I766" s="2"/>
      <c r="J766" s="2"/>
      <c r="K766" s="2"/>
      <c r="N766" s="2"/>
    </row>
    <row r="767" spans="9:14">
      <c r="I767" s="2"/>
      <c r="J767" s="2"/>
      <c r="K767" s="2"/>
      <c r="N767" s="2"/>
    </row>
    <row r="768" spans="9:14">
      <c r="I768" s="2"/>
      <c r="J768" s="2"/>
      <c r="K768" s="2"/>
      <c r="N768" s="2"/>
    </row>
    <row r="769" spans="9:14">
      <c r="I769" s="2"/>
      <c r="J769" s="2"/>
      <c r="K769" s="2"/>
      <c r="N769" s="2"/>
    </row>
    <row r="770" spans="9:14">
      <c r="I770" s="2"/>
      <c r="J770" s="2"/>
      <c r="K770" s="2"/>
      <c r="N770" s="2"/>
    </row>
    <row r="771" spans="9:14">
      <c r="I771" s="2"/>
      <c r="J771" s="2"/>
      <c r="K771" s="2"/>
      <c r="N771" s="2"/>
    </row>
    <row r="772" spans="9:14">
      <c r="I772" s="2"/>
      <c r="J772" s="2"/>
      <c r="K772" s="2"/>
      <c r="N772" s="2"/>
    </row>
    <row r="773" spans="9:14">
      <c r="I773" s="2"/>
      <c r="J773" s="2"/>
      <c r="K773" s="2"/>
      <c r="N773" s="2"/>
    </row>
    <row r="774" spans="9:14">
      <c r="I774" s="2"/>
      <c r="J774" s="2"/>
      <c r="K774" s="2"/>
      <c r="N774" s="2"/>
    </row>
    <row r="775" spans="9:14">
      <c r="I775" s="2"/>
      <c r="J775" s="2"/>
      <c r="K775" s="2"/>
      <c r="N775" s="2"/>
    </row>
    <row r="776" spans="9:14">
      <c r="I776" s="2"/>
      <c r="J776" s="2"/>
      <c r="K776" s="2"/>
      <c r="N776" s="2"/>
    </row>
    <row r="777" spans="9:14">
      <c r="I777" s="2"/>
      <c r="J777" s="2"/>
      <c r="K777" s="2"/>
      <c r="N777" s="2"/>
    </row>
    <row r="778" spans="9:14">
      <c r="I778" s="2"/>
      <c r="J778" s="2"/>
      <c r="K778" s="2"/>
      <c r="N778" s="2"/>
    </row>
    <row r="779" spans="9:14">
      <c r="I779" s="2"/>
      <c r="J779" s="2"/>
      <c r="K779" s="2"/>
      <c r="N779" s="2"/>
    </row>
    <row r="780" spans="9:14">
      <c r="I780" s="2"/>
      <c r="J780" s="2"/>
      <c r="K780" s="2"/>
      <c r="N780" s="2"/>
    </row>
    <row r="781" spans="9:14">
      <c r="I781" s="2"/>
      <c r="J781" s="2"/>
      <c r="K781" s="2"/>
      <c r="N781" s="2"/>
    </row>
    <row r="782" spans="9:14">
      <c r="I782" s="2"/>
      <c r="J782" s="2"/>
      <c r="K782" s="2"/>
      <c r="N782" s="2"/>
    </row>
    <row r="783" spans="9:14">
      <c r="I783" s="2"/>
      <c r="J783" s="2"/>
      <c r="K783" s="2"/>
      <c r="N783" s="2"/>
    </row>
    <row r="784" spans="9:14">
      <c r="I784" s="2"/>
      <c r="J784" s="2"/>
      <c r="K784" s="2"/>
      <c r="N784" s="2"/>
    </row>
    <row r="785" spans="9:14">
      <c r="I785" s="2"/>
      <c r="J785" s="2"/>
      <c r="K785" s="2"/>
      <c r="N785" s="2"/>
    </row>
    <row r="786" spans="9:14">
      <c r="I786" s="2"/>
      <c r="J786" s="2"/>
      <c r="K786" s="2"/>
      <c r="N786" s="2"/>
    </row>
    <row r="787" spans="9:14">
      <c r="I787" s="2"/>
      <c r="J787" s="2"/>
      <c r="K787" s="2"/>
      <c r="N787" s="2"/>
    </row>
    <row r="788" spans="9:14">
      <c r="I788" s="2"/>
      <c r="J788" s="2"/>
      <c r="K788" s="2"/>
      <c r="N788" s="2"/>
    </row>
    <row r="789" spans="9:14">
      <c r="I789" s="2"/>
      <c r="J789" s="2"/>
      <c r="K789" s="2"/>
      <c r="N789" s="2"/>
    </row>
    <row r="790" spans="9:14">
      <c r="I790" s="2"/>
      <c r="J790" s="2"/>
      <c r="K790" s="2"/>
      <c r="N790" s="2"/>
    </row>
    <row r="791" spans="9:14">
      <c r="I791" s="2"/>
      <c r="J791" s="2"/>
      <c r="K791" s="2"/>
      <c r="N791" s="2"/>
    </row>
    <row r="792" spans="9:14">
      <c r="I792" s="2"/>
      <c r="J792" s="2"/>
      <c r="K792" s="2"/>
      <c r="N792" s="2"/>
    </row>
    <row r="793" spans="9:14">
      <c r="I793" s="2"/>
      <c r="J793" s="2"/>
      <c r="K793" s="2"/>
      <c r="N793" s="2"/>
    </row>
    <row r="794" spans="9:14">
      <c r="I794" s="2"/>
      <c r="J794" s="2"/>
      <c r="K794" s="2"/>
      <c r="N794" s="2"/>
    </row>
    <row r="795" spans="9:14">
      <c r="I795" s="2"/>
      <c r="J795" s="2"/>
      <c r="K795" s="2"/>
      <c r="N795" s="2"/>
    </row>
    <row r="796" spans="9:14">
      <c r="I796" s="2"/>
      <c r="J796" s="2"/>
      <c r="K796" s="2"/>
      <c r="N796" s="2"/>
    </row>
    <row r="797" spans="9:14">
      <c r="I797" s="2"/>
      <c r="J797" s="2"/>
      <c r="K797" s="2"/>
      <c r="N797" s="2"/>
    </row>
    <row r="798" spans="9:14">
      <c r="I798" s="2"/>
      <c r="J798" s="2"/>
      <c r="K798" s="2"/>
      <c r="N798" s="2"/>
    </row>
    <row r="799" spans="9:14">
      <c r="I799" s="2"/>
      <c r="J799" s="2"/>
      <c r="K799" s="2"/>
      <c r="N799" s="2"/>
    </row>
    <row r="800" spans="9:14">
      <c r="I800" s="2"/>
      <c r="J800" s="2"/>
      <c r="K800" s="2"/>
      <c r="N800" s="2"/>
    </row>
    <row r="801" spans="9:14">
      <c r="I801" s="2"/>
      <c r="J801" s="2"/>
      <c r="K801" s="2"/>
      <c r="N801" s="2"/>
    </row>
    <row r="802" spans="9:14">
      <c r="I802" s="2"/>
      <c r="J802" s="2"/>
      <c r="K802" s="2"/>
      <c r="N802" s="2"/>
    </row>
    <row r="803" spans="9:14">
      <c r="I803" s="2"/>
      <c r="J803" s="2"/>
      <c r="K803" s="2"/>
      <c r="N803" s="2"/>
    </row>
    <row r="804" spans="9:14">
      <c r="I804" s="2"/>
      <c r="J804" s="2"/>
      <c r="K804" s="2"/>
      <c r="N804" s="2"/>
    </row>
    <row r="805" spans="9:14">
      <c r="I805" s="2"/>
      <c r="J805" s="2"/>
      <c r="K805" s="2"/>
      <c r="N805" s="2"/>
    </row>
    <row r="806" spans="9:14">
      <c r="I806" s="2"/>
      <c r="J806" s="2"/>
      <c r="K806" s="2"/>
      <c r="N806" s="2"/>
    </row>
    <row r="807" spans="9:14">
      <c r="I807" s="2"/>
      <c r="J807" s="2"/>
      <c r="K807" s="2"/>
      <c r="N807" s="2"/>
    </row>
    <row r="808" spans="9:14">
      <c r="I808" s="2"/>
      <c r="J808" s="2"/>
      <c r="K808" s="2"/>
      <c r="N808" s="2"/>
    </row>
    <row r="809" spans="9:14">
      <c r="I809" s="2"/>
      <c r="J809" s="2"/>
      <c r="K809" s="2"/>
      <c r="N809" s="2"/>
    </row>
    <row r="810" spans="9:14">
      <c r="I810" s="2"/>
      <c r="J810" s="2"/>
      <c r="K810" s="2"/>
      <c r="N810" s="2"/>
    </row>
    <row r="811" spans="9:14">
      <c r="I811" s="2"/>
      <c r="J811" s="2"/>
      <c r="K811" s="2"/>
      <c r="N811" s="2"/>
    </row>
    <row r="812" spans="9:14">
      <c r="I812" s="2"/>
      <c r="J812" s="2"/>
      <c r="K812" s="2"/>
      <c r="N812" s="2"/>
    </row>
    <row r="813" spans="9:14">
      <c r="I813" s="2"/>
      <c r="J813" s="2"/>
      <c r="K813" s="2"/>
      <c r="N813" s="2"/>
    </row>
    <row r="814" spans="9:14">
      <c r="I814" s="2"/>
      <c r="J814" s="2"/>
      <c r="K814" s="2"/>
      <c r="N814" s="2"/>
    </row>
    <row r="815" spans="9:14">
      <c r="I815" s="2"/>
      <c r="J815" s="2"/>
      <c r="K815" s="2"/>
      <c r="N815" s="2"/>
    </row>
    <row r="816" spans="9:14">
      <c r="I816" s="2"/>
      <c r="J816" s="2"/>
      <c r="K816" s="2"/>
      <c r="N816" s="2"/>
    </row>
    <row r="817" spans="9:14">
      <c r="I817" s="2"/>
      <c r="J817" s="2"/>
      <c r="K817" s="2"/>
      <c r="N817" s="2"/>
    </row>
    <row r="818" spans="9:14">
      <c r="I818" s="2"/>
      <c r="J818" s="2"/>
      <c r="K818" s="2"/>
      <c r="N818" s="2"/>
    </row>
    <row r="819" spans="9:14">
      <c r="I819" s="2"/>
      <c r="J819" s="2"/>
      <c r="K819" s="2"/>
      <c r="N819" s="2"/>
    </row>
    <row r="820" spans="9:14">
      <c r="I820" s="2"/>
      <c r="J820" s="2"/>
      <c r="K820" s="2"/>
      <c r="N820" s="2"/>
    </row>
    <row r="821" spans="9:14">
      <c r="I821" s="2"/>
      <c r="J821" s="2"/>
      <c r="K821" s="2"/>
      <c r="N821" s="2"/>
    </row>
    <row r="822" spans="9:14">
      <c r="I822" s="2"/>
      <c r="J822" s="2"/>
      <c r="K822" s="2"/>
      <c r="N822" s="2"/>
    </row>
    <row r="823" spans="9:14">
      <c r="I823" s="2"/>
      <c r="J823" s="2"/>
      <c r="K823" s="2"/>
      <c r="N823" s="2"/>
    </row>
    <row r="824" spans="9:14">
      <c r="I824" s="2"/>
      <c r="J824" s="2"/>
      <c r="K824" s="2"/>
      <c r="N824" s="2"/>
    </row>
    <row r="825" spans="9:14">
      <c r="I825" s="2"/>
      <c r="J825" s="2"/>
      <c r="K825" s="2"/>
      <c r="N825" s="2"/>
    </row>
    <row r="826" spans="9:14">
      <c r="I826" s="2"/>
      <c r="J826" s="2"/>
      <c r="K826" s="2"/>
      <c r="N826" s="2"/>
    </row>
    <row r="827" spans="9:14">
      <c r="I827" s="2"/>
      <c r="J827" s="2"/>
      <c r="K827" s="2"/>
      <c r="N827" s="2"/>
    </row>
    <row r="828" spans="9:14">
      <c r="I828" s="2"/>
      <c r="J828" s="2"/>
      <c r="K828" s="2"/>
      <c r="N828" s="2"/>
    </row>
    <row r="829" spans="9:14">
      <c r="I829" s="2"/>
      <c r="J829" s="2"/>
      <c r="K829" s="2"/>
      <c r="N829" s="2"/>
    </row>
    <row r="830" spans="9:14">
      <c r="I830" s="2"/>
      <c r="J830" s="2"/>
      <c r="K830" s="2"/>
      <c r="N830" s="2"/>
    </row>
    <row r="831" spans="9:14">
      <c r="I831" s="2"/>
      <c r="J831" s="2"/>
      <c r="K831" s="2"/>
      <c r="N831" s="2"/>
    </row>
    <row r="832" spans="9:14">
      <c r="I832" s="2"/>
      <c r="J832" s="2"/>
      <c r="K832" s="2"/>
      <c r="N832" s="2"/>
    </row>
    <row r="833" spans="9:14">
      <c r="I833" s="2"/>
      <c r="J833" s="2"/>
      <c r="K833" s="2"/>
      <c r="N833" s="2"/>
    </row>
    <row r="834" spans="9:14">
      <c r="I834" s="2"/>
      <c r="J834" s="2"/>
      <c r="K834" s="2"/>
      <c r="N834" s="2"/>
    </row>
    <row r="835" spans="9:14">
      <c r="I835" s="2"/>
      <c r="J835" s="2"/>
      <c r="K835" s="2"/>
      <c r="N835" s="2"/>
    </row>
    <row r="836" spans="9:14">
      <c r="I836" s="2"/>
      <c r="J836" s="2"/>
      <c r="K836" s="2"/>
      <c r="N836" s="2"/>
    </row>
    <row r="837" spans="9:14">
      <c r="I837" s="2"/>
      <c r="J837" s="2"/>
      <c r="K837" s="2"/>
      <c r="N837" s="2"/>
    </row>
    <row r="838" spans="9:14">
      <c r="I838" s="2"/>
      <c r="J838" s="2"/>
      <c r="K838" s="2"/>
      <c r="N838" s="2"/>
    </row>
    <row r="839" spans="9:14">
      <c r="I839" s="2"/>
      <c r="J839" s="2"/>
      <c r="K839" s="2"/>
      <c r="N839" s="2"/>
    </row>
    <row r="840" spans="9:14">
      <c r="I840" s="2"/>
      <c r="J840" s="2"/>
      <c r="K840" s="2"/>
      <c r="N840" s="2"/>
    </row>
    <row r="841" spans="9:14">
      <c r="I841" s="2"/>
      <c r="J841" s="2"/>
      <c r="K841" s="2"/>
      <c r="N841" s="2"/>
    </row>
    <row r="842" spans="9:14">
      <c r="I842" s="2"/>
      <c r="J842" s="2"/>
      <c r="K842" s="2"/>
      <c r="N842" s="2"/>
    </row>
    <row r="843" spans="9:14">
      <c r="I843" s="2"/>
      <c r="J843" s="2"/>
      <c r="K843" s="2"/>
      <c r="N843" s="2"/>
    </row>
    <row r="844" spans="9:14">
      <c r="I844" s="2"/>
      <c r="J844" s="2"/>
      <c r="K844" s="2"/>
      <c r="N844" s="2"/>
    </row>
    <row r="845" spans="9:14">
      <c r="I845" s="2"/>
      <c r="J845" s="2"/>
      <c r="K845" s="2"/>
      <c r="N845" s="2"/>
    </row>
    <row r="846" spans="9:14">
      <c r="I846" s="2"/>
      <c r="J846" s="2"/>
      <c r="K846" s="2"/>
      <c r="N846" s="2"/>
    </row>
    <row r="847" spans="9:14">
      <c r="I847" s="2"/>
      <c r="J847" s="2"/>
      <c r="K847" s="2"/>
      <c r="N847" s="2"/>
    </row>
    <row r="848" spans="9:14">
      <c r="I848" s="2"/>
      <c r="J848" s="2"/>
      <c r="K848" s="2"/>
      <c r="N848" s="2"/>
    </row>
    <row r="849" spans="9:14">
      <c r="I849" s="2"/>
      <c r="J849" s="2"/>
      <c r="K849" s="2"/>
      <c r="N849" s="2"/>
    </row>
    <row r="850" spans="9:14">
      <c r="I850" s="2"/>
      <c r="J850" s="2"/>
      <c r="K850" s="2"/>
      <c r="N850" s="2"/>
    </row>
    <row r="851" spans="9:14">
      <c r="I851" s="2"/>
      <c r="J851" s="2"/>
      <c r="K851" s="2"/>
      <c r="N851" s="2"/>
    </row>
    <row r="852" spans="9:14">
      <c r="I852" s="2"/>
      <c r="J852" s="2"/>
      <c r="K852" s="2"/>
      <c r="N852" s="2"/>
    </row>
    <row r="853" spans="9:14">
      <c r="I853" s="2"/>
      <c r="J853" s="2"/>
      <c r="K853" s="2"/>
      <c r="N853" s="2"/>
    </row>
    <row r="854" spans="9:14">
      <c r="I854" s="2"/>
      <c r="J854" s="2"/>
      <c r="K854" s="2"/>
      <c r="N854" s="2"/>
    </row>
    <row r="855" spans="9:14">
      <c r="I855" s="2"/>
      <c r="J855" s="2"/>
      <c r="K855" s="2"/>
      <c r="N855" s="2"/>
    </row>
    <row r="856" spans="9:14">
      <c r="I856" s="2"/>
      <c r="J856" s="2"/>
      <c r="K856" s="2"/>
      <c r="N856" s="2"/>
    </row>
    <row r="857" spans="9:14">
      <c r="I857" s="2"/>
      <c r="J857" s="2"/>
      <c r="K857" s="2"/>
      <c r="N857" s="2"/>
    </row>
    <row r="858" spans="9:14">
      <c r="I858" s="2"/>
      <c r="J858" s="2"/>
      <c r="K858" s="2"/>
      <c r="N858" s="2"/>
    </row>
    <row r="859" spans="9:14">
      <c r="I859" s="2"/>
      <c r="J859" s="2"/>
      <c r="K859" s="2"/>
      <c r="N859" s="2"/>
    </row>
    <row r="860" spans="9:14">
      <c r="I860" s="2"/>
      <c r="J860" s="2"/>
      <c r="K860" s="2"/>
      <c r="N860" s="2"/>
    </row>
    <row r="861" spans="9:14">
      <c r="I861" s="2"/>
      <c r="J861" s="2"/>
      <c r="K861" s="2"/>
      <c r="N861" s="2"/>
    </row>
    <row r="862" spans="9:14">
      <c r="I862" s="2"/>
      <c r="J862" s="2"/>
      <c r="K862" s="2"/>
      <c r="N862" s="2"/>
    </row>
    <row r="863" spans="9:14">
      <c r="I863" s="2"/>
      <c r="J863" s="2"/>
      <c r="K863" s="2"/>
      <c r="N863" s="2"/>
    </row>
    <row r="864" spans="9:14">
      <c r="I864" s="2"/>
      <c r="J864" s="2"/>
      <c r="K864" s="2"/>
      <c r="N864" s="2"/>
    </row>
    <row r="865" spans="9:14">
      <c r="I865" s="2"/>
      <c r="J865" s="2"/>
      <c r="K865" s="2"/>
      <c r="N865" s="2"/>
    </row>
    <row r="866" spans="9:14">
      <c r="I866" s="2"/>
      <c r="J866" s="2"/>
      <c r="K866" s="2"/>
      <c r="N866" s="2"/>
    </row>
    <row r="867" spans="9:14">
      <c r="I867" s="2"/>
      <c r="J867" s="2"/>
      <c r="K867" s="2"/>
      <c r="N867" s="2"/>
    </row>
    <row r="868" spans="9:14">
      <c r="I868" s="2"/>
      <c r="J868" s="2"/>
      <c r="K868" s="2"/>
      <c r="N868" s="2"/>
    </row>
    <row r="869" spans="9:14">
      <c r="I869" s="2"/>
      <c r="J869" s="2"/>
      <c r="K869" s="2"/>
      <c r="N869" s="2"/>
    </row>
    <row r="870" spans="9:14">
      <c r="I870" s="2"/>
      <c r="J870" s="2"/>
      <c r="K870" s="2"/>
      <c r="N870" s="2"/>
    </row>
    <row r="871" spans="9:14">
      <c r="I871" s="2"/>
      <c r="J871" s="2"/>
      <c r="K871" s="2"/>
      <c r="N871" s="2"/>
    </row>
    <row r="872" spans="9:14">
      <c r="I872" s="2"/>
      <c r="J872" s="2"/>
      <c r="K872" s="2"/>
      <c r="N872" s="2"/>
    </row>
    <row r="873" spans="9:14">
      <c r="I873" s="2"/>
      <c r="J873" s="2"/>
      <c r="K873" s="2"/>
      <c r="N873" s="2"/>
    </row>
    <row r="874" spans="9:14">
      <c r="I874" s="2"/>
      <c r="J874" s="2"/>
      <c r="K874" s="2"/>
      <c r="N874" s="2"/>
    </row>
    <row r="875" spans="9:14">
      <c r="I875" s="2"/>
      <c r="J875" s="2"/>
      <c r="K875" s="2"/>
      <c r="N875" s="2"/>
    </row>
    <row r="876" spans="9:14">
      <c r="I876" s="2"/>
      <c r="J876" s="2"/>
      <c r="K876" s="2"/>
      <c r="N876" s="2"/>
    </row>
    <row r="877" spans="9:14">
      <c r="I877" s="2"/>
      <c r="J877" s="2"/>
      <c r="K877" s="2"/>
      <c r="N877" s="2"/>
    </row>
    <row r="878" spans="9:14">
      <c r="I878" s="2"/>
      <c r="J878" s="2"/>
      <c r="K878" s="2"/>
      <c r="N878" s="2"/>
    </row>
    <row r="879" spans="9:14">
      <c r="I879" s="2"/>
      <c r="J879" s="2"/>
      <c r="K879" s="2"/>
      <c r="N879" s="2"/>
    </row>
    <row r="880" spans="9:14">
      <c r="I880" s="2"/>
      <c r="J880" s="2"/>
      <c r="K880" s="2"/>
      <c r="N880" s="2"/>
    </row>
    <row r="881" spans="9:14">
      <c r="I881" s="2"/>
      <c r="J881" s="2"/>
      <c r="K881" s="2"/>
      <c r="N881" s="2"/>
    </row>
    <row r="882" spans="9:14">
      <c r="I882" s="2"/>
      <c r="J882" s="2"/>
      <c r="K882" s="2"/>
      <c r="N882" s="2"/>
    </row>
    <row r="883" spans="9:14">
      <c r="I883" s="2"/>
      <c r="J883" s="2"/>
      <c r="K883" s="2"/>
      <c r="N883" s="2"/>
    </row>
    <row r="884" spans="9:14">
      <c r="I884" s="2"/>
      <c r="J884" s="2"/>
      <c r="K884" s="2"/>
      <c r="N884" s="2"/>
    </row>
    <row r="885" spans="9:14">
      <c r="I885" s="2"/>
      <c r="J885" s="2"/>
      <c r="K885" s="2"/>
      <c r="N885" s="2"/>
    </row>
    <row r="886" spans="9:14">
      <c r="I886" s="2"/>
      <c r="J886" s="2"/>
      <c r="K886" s="2"/>
      <c r="N886" s="2"/>
    </row>
    <row r="887" spans="9:14">
      <c r="I887" s="2"/>
      <c r="J887" s="2"/>
      <c r="K887" s="2"/>
      <c r="N887" s="2"/>
    </row>
    <row r="888" spans="9:14">
      <c r="I888" s="2"/>
      <c r="J888" s="2"/>
      <c r="K888" s="2"/>
      <c r="N888" s="2"/>
    </row>
    <row r="889" spans="9:14">
      <c r="I889" s="2"/>
      <c r="J889" s="2"/>
      <c r="K889" s="2"/>
      <c r="N889" s="2"/>
    </row>
    <row r="890" spans="9:14">
      <c r="I890" s="2"/>
      <c r="J890" s="2"/>
      <c r="K890" s="2"/>
      <c r="N890" s="2"/>
    </row>
    <row r="891" spans="9:14">
      <c r="I891" s="2"/>
      <c r="J891" s="2"/>
      <c r="K891" s="2"/>
      <c r="N891" s="2"/>
    </row>
    <row r="892" spans="9:14">
      <c r="I892" s="2"/>
      <c r="J892" s="2"/>
      <c r="K892" s="2"/>
      <c r="N892" s="2"/>
    </row>
    <row r="893" spans="9:14">
      <c r="I893" s="2"/>
      <c r="J893" s="2"/>
      <c r="K893" s="2"/>
      <c r="N893" s="2"/>
    </row>
    <row r="894" spans="9:14">
      <c r="I894" s="2"/>
      <c r="J894" s="2"/>
      <c r="K894" s="2"/>
      <c r="N894" s="2"/>
    </row>
    <row r="895" spans="9:14">
      <c r="I895" s="2"/>
      <c r="J895" s="2"/>
      <c r="K895" s="2"/>
      <c r="N895" s="2"/>
    </row>
    <row r="896" spans="9:14">
      <c r="I896" s="2"/>
      <c r="J896" s="2"/>
      <c r="K896" s="2"/>
      <c r="N896" s="2"/>
    </row>
    <row r="897" spans="9:14">
      <c r="I897" s="2"/>
      <c r="J897" s="2"/>
      <c r="K897" s="2"/>
      <c r="N897" s="2"/>
    </row>
    <row r="898" spans="9:14">
      <c r="I898" s="2"/>
      <c r="J898" s="2"/>
      <c r="K898" s="2"/>
      <c r="N898" s="2"/>
    </row>
    <row r="899" spans="9:14">
      <c r="I899" s="2"/>
      <c r="J899" s="2"/>
      <c r="K899" s="2"/>
      <c r="N899" s="2"/>
    </row>
    <row r="900" spans="9:14">
      <c r="I900" s="2"/>
      <c r="J900" s="2"/>
      <c r="K900" s="2"/>
      <c r="N900" s="2"/>
    </row>
    <row r="901" spans="9:14">
      <c r="I901" s="2"/>
      <c r="J901" s="2"/>
      <c r="K901" s="2"/>
      <c r="N901" s="2"/>
    </row>
    <row r="902" spans="9:14">
      <c r="I902" s="2"/>
      <c r="J902" s="2"/>
      <c r="K902" s="2"/>
      <c r="N902" s="2"/>
    </row>
    <row r="903" spans="9:14">
      <c r="I903" s="2"/>
      <c r="J903" s="2"/>
      <c r="K903" s="2"/>
      <c r="N903" s="2"/>
    </row>
    <row r="904" spans="9:14">
      <c r="I904" s="2"/>
      <c r="J904" s="2"/>
      <c r="K904" s="2"/>
      <c r="N904" s="2"/>
    </row>
    <row r="905" spans="9:14">
      <c r="I905" s="2"/>
      <c r="J905" s="2"/>
      <c r="K905" s="2"/>
      <c r="N905" s="2"/>
    </row>
    <row r="906" spans="9:14">
      <c r="I906" s="2"/>
      <c r="J906" s="2"/>
      <c r="K906" s="2"/>
      <c r="N906" s="2"/>
    </row>
    <row r="907" spans="9:14">
      <c r="I907" s="2"/>
      <c r="J907" s="2"/>
      <c r="K907" s="2"/>
      <c r="N907" s="2"/>
    </row>
    <row r="908" spans="9:14">
      <c r="I908" s="2"/>
      <c r="J908" s="2"/>
      <c r="K908" s="2"/>
      <c r="N908" s="2"/>
    </row>
    <row r="909" spans="9:14">
      <c r="I909" s="2"/>
      <c r="J909" s="2"/>
      <c r="K909" s="2"/>
      <c r="N909" s="2"/>
    </row>
    <row r="910" spans="9:14">
      <c r="I910" s="2"/>
      <c r="J910" s="2"/>
      <c r="K910" s="2"/>
      <c r="N910" s="2"/>
    </row>
    <row r="911" spans="9:14">
      <c r="I911" s="2"/>
      <c r="J911" s="2"/>
      <c r="K911" s="2"/>
      <c r="N911" s="2"/>
    </row>
    <row r="912" spans="9:14">
      <c r="I912" s="2"/>
      <c r="J912" s="2"/>
      <c r="K912" s="2"/>
      <c r="N912" s="2"/>
    </row>
    <row r="913" spans="9:14">
      <c r="I913" s="2"/>
      <c r="J913" s="2"/>
      <c r="K913" s="2"/>
      <c r="N913" s="2"/>
    </row>
    <row r="914" spans="9:14">
      <c r="I914" s="2"/>
      <c r="J914" s="2"/>
      <c r="K914" s="2"/>
      <c r="N914" s="2"/>
    </row>
    <row r="915" spans="9:14">
      <c r="I915" s="2"/>
      <c r="J915" s="2"/>
      <c r="K915" s="2"/>
      <c r="N915" s="2"/>
    </row>
    <row r="916" spans="9:14">
      <c r="I916" s="2"/>
      <c r="J916" s="2"/>
      <c r="K916" s="2"/>
      <c r="N916" s="2"/>
    </row>
    <row r="917" spans="9:14">
      <c r="I917" s="2"/>
      <c r="J917" s="2"/>
      <c r="K917" s="2"/>
      <c r="N917" s="2"/>
    </row>
    <row r="918" spans="9:14">
      <c r="I918" s="2"/>
      <c r="J918" s="2"/>
      <c r="K918" s="2"/>
      <c r="N918" s="2"/>
    </row>
    <row r="919" spans="9:14">
      <c r="I919" s="2"/>
      <c r="J919" s="2"/>
      <c r="K919" s="2"/>
      <c r="N919" s="2"/>
    </row>
    <row r="920" spans="9:14">
      <c r="I920" s="2"/>
      <c r="J920" s="2"/>
      <c r="K920" s="2"/>
      <c r="N920" s="2"/>
    </row>
    <row r="921" spans="9:14">
      <c r="I921" s="2"/>
      <c r="J921" s="2"/>
      <c r="K921" s="2"/>
      <c r="N921" s="2"/>
    </row>
    <row r="922" spans="9:14">
      <c r="I922" s="2"/>
      <c r="J922" s="2"/>
      <c r="K922" s="2"/>
      <c r="N922" s="2"/>
    </row>
    <row r="923" spans="9:14">
      <c r="I923" s="2"/>
      <c r="J923" s="2"/>
      <c r="K923" s="2"/>
      <c r="N923" s="2"/>
    </row>
    <row r="924" spans="9:14">
      <c r="I924" s="2"/>
      <c r="J924" s="2"/>
      <c r="K924" s="2"/>
      <c r="N924" s="2"/>
    </row>
    <row r="925" spans="9:14">
      <c r="I925" s="2"/>
      <c r="J925" s="2"/>
      <c r="K925" s="2"/>
      <c r="N925" s="2"/>
    </row>
    <row r="926" spans="9:14">
      <c r="I926" s="2"/>
      <c r="J926" s="2"/>
      <c r="K926" s="2"/>
      <c r="N926" s="2"/>
    </row>
    <row r="927" spans="9:14">
      <c r="I927" s="2"/>
      <c r="J927" s="2"/>
      <c r="K927" s="2"/>
      <c r="N927" s="2"/>
    </row>
    <row r="928" spans="9:14">
      <c r="I928" s="2"/>
      <c r="J928" s="2"/>
      <c r="K928" s="2"/>
      <c r="N928" s="2"/>
    </row>
    <row r="929" spans="9:14">
      <c r="I929" s="2"/>
      <c r="J929" s="2"/>
      <c r="K929" s="2"/>
      <c r="N929" s="2"/>
    </row>
    <row r="930" spans="9:14">
      <c r="I930" s="2"/>
      <c r="J930" s="2"/>
      <c r="K930" s="2"/>
      <c r="N930" s="2"/>
    </row>
    <row r="931" spans="9:14">
      <c r="I931" s="2"/>
      <c r="J931" s="2"/>
      <c r="K931" s="2"/>
      <c r="N931" s="2"/>
    </row>
    <row r="932" spans="9:14">
      <c r="I932" s="2"/>
      <c r="J932" s="2"/>
      <c r="K932" s="2"/>
      <c r="N932" s="2"/>
    </row>
    <row r="933" spans="9:14">
      <c r="I933" s="2"/>
      <c r="J933" s="2"/>
      <c r="K933" s="2"/>
      <c r="N933" s="2"/>
    </row>
    <row r="934" spans="9:14">
      <c r="I934" s="2"/>
      <c r="J934" s="2"/>
      <c r="K934" s="2"/>
      <c r="N934" s="2"/>
    </row>
    <row r="935" spans="9:14">
      <c r="I935" s="2"/>
      <c r="J935" s="2"/>
      <c r="K935" s="2"/>
      <c r="N935" s="2"/>
    </row>
    <row r="936" spans="9:14">
      <c r="I936" s="2"/>
      <c r="J936" s="2"/>
      <c r="K936" s="2"/>
      <c r="N936" s="2"/>
    </row>
    <row r="937" spans="9:14">
      <c r="I937" s="2"/>
      <c r="J937" s="2"/>
      <c r="K937" s="2"/>
      <c r="N937" s="2"/>
    </row>
    <row r="938" spans="9:14">
      <c r="I938" s="2"/>
      <c r="J938" s="2"/>
      <c r="K938" s="2"/>
      <c r="N938" s="2"/>
    </row>
    <row r="939" spans="9:14">
      <c r="I939" s="2"/>
      <c r="J939" s="2"/>
      <c r="K939" s="2"/>
      <c r="N939" s="2"/>
    </row>
    <row r="940" spans="9:14">
      <c r="I940" s="2"/>
      <c r="J940" s="2"/>
      <c r="K940" s="2"/>
      <c r="N940" s="2"/>
    </row>
    <row r="941" spans="9:14">
      <c r="I941" s="2"/>
      <c r="J941" s="2"/>
      <c r="K941" s="2"/>
      <c r="N941" s="2"/>
    </row>
    <row r="942" spans="9:14">
      <c r="I942" s="2"/>
      <c r="J942" s="2"/>
      <c r="K942" s="2"/>
      <c r="N942" s="2"/>
    </row>
    <row r="943" spans="9:14">
      <c r="I943" s="2"/>
      <c r="J943" s="2"/>
      <c r="K943" s="2"/>
      <c r="N943" s="2"/>
    </row>
    <row r="944" spans="9:14">
      <c r="I944" s="2"/>
      <c r="J944" s="2"/>
      <c r="K944" s="2"/>
      <c r="N944" s="2"/>
    </row>
    <row r="945" spans="9:14">
      <c r="I945" s="2"/>
      <c r="J945" s="2"/>
      <c r="K945" s="2"/>
      <c r="N945" s="2"/>
    </row>
    <row r="946" spans="9:14">
      <c r="I946" s="2"/>
      <c r="J946" s="2"/>
      <c r="K946" s="2"/>
      <c r="N946" s="2"/>
    </row>
    <row r="947" spans="9:14">
      <c r="I947" s="2"/>
      <c r="J947" s="2"/>
      <c r="K947" s="2"/>
      <c r="N947" s="2"/>
    </row>
    <row r="948" spans="9:14">
      <c r="I948" s="2"/>
      <c r="J948" s="2"/>
      <c r="K948" s="2"/>
      <c r="N948" s="2"/>
    </row>
    <row r="949" spans="9:14">
      <c r="I949" s="2"/>
      <c r="J949" s="2"/>
      <c r="K949" s="2"/>
      <c r="N949" s="2"/>
    </row>
    <row r="950" spans="9:14">
      <c r="I950" s="2"/>
      <c r="J950" s="2"/>
      <c r="K950" s="2"/>
      <c r="N950" s="2"/>
    </row>
    <row r="951" spans="9:14">
      <c r="I951" s="2"/>
      <c r="J951" s="2"/>
      <c r="K951" s="2"/>
      <c r="N951" s="2"/>
    </row>
    <row r="952" spans="9:14">
      <c r="I952" s="2"/>
      <c r="J952" s="2"/>
      <c r="K952" s="2"/>
      <c r="N952" s="2"/>
    </row>
    <row r="953" spans="9:14">
      <c r="I953" s="2"/>
      <c r="J953" s="2"/>
      <c r="K953" s="2"/>
      <c r="N953" s="2"/>
    </row>
    <row r="954" spans="9:14">
      <c r="I954" s="2"/>
      <c r="J954" s="2"/>
      <c r="K954" s="2"/>
      <c r="N954" s="2"/>
    </row>
    <row r="955" spans="9:14">
      <c r="I955" s="2"/>
      <c r="J955" s="2"/>
      <c r="K955" s="2"/>
      <c r="N955" s="2"/>
    </row>
    <row r="956" spans="9:14">
      <c r="I956" s="2"/>
      <c r="J956" s="2"/>
      <c r="K956" s="2"/>
      <c r="N956" s="2"/>
    </row>
    <row r="957" spans="9:14">
      <c r="I957" s="2"/>
      <c r="J957" s="2"/>
      <c r="K957" s="2"/>
      <c r="N957" s="2"/>
    </row>
    <row r="958" spans="9:14">
      <c r="I958" s="2"/>
      <c r="J958" s="2"/>
      <c r="K958" s="2"/>
      <c r="N958" s="2"/>
    </row>
    <row r="959" spans="9:14">
      <c r="I959" s="2"/>
      <c r="J959" s="2"/>
      <c r="K959" s="2"/>
      <c r="N959" s="2"/>
    </row>
    <row r="960" spans="9:14">
      <c r="I960" s="2"/>
      <c r="J960" s="2"/>
      <c r="K960" s="2"/>
      <c r="N960" s="2"/>
    </row>
    <row r="961" spans="9:14">
      <c r="I961" s="2"/>
      <c r="J961" s="2"/>
      <c r="K961" s="2"/>
      <c r="N961" s="2"/>
    </row>
    <row r="962" spans="9:14">
      <c r="I962" s="2"/>
      <c r="J962" s="2"/>
      <c r="K962" s="2"/>
      <c r="N962" s="2"/>
    </row>
    <row r="963" spans="9:14">
      <c r="I963" s="2"/>
      <c r="J963" s="2"/>
      <c r="K963" s="2"/>
      <c r="N963" s="2"/>
    </row>
    <row r="964" spans="9:14">
      <c r="I964" s="2"/>
      <c r="J964" s="2"/>
      <c r="K964" s="2"/>
      <c r="N964" s="2"/>
    </row>
    <row r="965" spans="9:14">
      <c r="I965" s="2"/>
      <c r="J965" s="2"/>
      <c r="K965" s="2"/>
      <c r="N965" s="2"/>
    </row>
    <row r="966" spans="9:14">
      <c r="I966" s="2"/>
      <c r="J966" s="2"/>
      <c r="K966" s="2"/>
      <c r="N966" s="2"/>
    </row>
    <row r="967" spans="9:14">
      <c r="I967" s="2"/>
      <c r="J967" s="2"/>
      <c r="K967" s="2"/>
      <c r="N967" s="2"/>
    </row>
    <row r="968" spans="9:14">
      <c r="I968" s="2"/>
      <c r="J968" s="2"/>
      <c r="K968" s="2"/>
      <c r="N968" s="2"/>
    </row>
    <row r="969" spans="9:14">
      <c r="I969" s="2"/>
      <c r="J969" s="2"/>
      <c r="K969" s="2"/>
      <c r="N969" s="2"/>
    </row>
    <row r="970" spans="9:14">
      <c r="I970" s="2"/>
      <c r="J970" s="2"/>
      <c r="K970" s="2"/>
      <c r="N970" s="2"/>
    </row>
    <row r="971" spans="9:14">
      <c r="I971" s="2"/>
      <c r="J971" s="2"/>
      <c r="K971" s="2"/>
      <c r="N971" s="2"/>
    </row>
    <row r="972" spans="9:14">
      <c r="I972" s="2"/>
      <c r="J972" s="2"/>
      <c r="K972" s="2"/>
      <c r="N972" s="2"/>
    </row>
    <row r="973" spans="9:14">
      <c r="I973" s="2"/>
      <c r="J973" s="2"/>
      <c r="K973" s="2"/>
      <c r="N973" s="2"/>
    </row>
    <row r="974" spans="9:14">
      <c r="I974" s="2"/>
      <c r="J974" s="2"/>
      <c r="K974" s="2"/>
      <c r="N974" s="2"/>
    </row>
    <row r="975" spans="9:14">
      <c r="I975" s="2"/>
      <c r="J975" s="2"/>
      <c r="K975" s="2"/>
      <c r="N975" s="2"/>
    </row>
    <row r="976" spans="9:14">
      <c r="I976" s="2"/>
      <c r="J976" s="2"/>
      <c r="K976" s="2"/>
      <c r="N976" s="2"/>
    </row>
    <row r="977" spans="9:14">
      <c r="I977" s="2"/>
      <c r="J977" s="2"/>
      <c r="K977" s="2"/>
      <c r="N977" s="2"/>
    </row>
    <row r="978" spans="9:14">
      <c r="I978" s="2"/>
      <c r="J978" s="2"/>
      <c r="K978" s="2"/>
      <c r="N978" s="2"/>
    </row>
    <row r="979" spans="9:14">
      <c r="I979" s="2"/>
      <c r="J979" s="2"/>
      <c r="K979" s="2"/>
      <c r="N979" s="2"/>
    </row>
    <row r="980" spans="9:14">
      <c r="I980" s="2"/>
      <c r="J980" s="2"/>
      <c r="K980" s="2"/>
      <c r="N980" s="2"/>
    </row>
    <row r="981" spans="9:14">
      <c r="I981" s="2"/>
      <c r="J981" s="2"/>
      <c r="K981" s="2"/>
      <c r="N981" s="2"/>
    </row>
    <row r="982" spans="9:14">
      <c r="I982" s="2"/>
      <c r="J982" s="2"/>
      <c r="K982" s="2"/>
      <c r="N982" s="2"/>
    </row>
    <row r="983" spans="9:14">
      <c r="I983" s="2"/>
      <c r="J983" s="2"/>
      <c r="K983" s="2"/>
      <c r="N983" s="2"/>
    </row>
    <row r="984" spans="9:14">
      <c r="I984" s="2"/>
      <c r="J984" s="2"/>
      <c r="K984" s="2"/>
      <c r="N984" s="2"/>
    </row>
    <row r="985" spans="9:14">
      <c r="I985" s="2"/>
      <c r="J985" s="2"/>
      <c r="K985" s="2"/>
      <c r="N985" s="2"/>
    </row>
    <row r="986" spans="9:14">
      <c r="I986" s="2"/>
      <c r="J986" s="2"/>
      <c r="K986" s="2"/>
      <c r="N986" s="2"/>
    </row>
    <row r="987" spans="9:14">
      <c r="I987" s="2"/>
      <c r="J987" s="2"/>
      <c r="K987" s="2"/>
      <c r="N987" s="2"/>
    </row>
    <row r="988" spans="9:14">
      <c r="I988" s="2"/>
      <c r="J988" s="2"/>
      <c r="K988" s="2"/>
      <c r="N988" s="2"/>
    </row>
    <row r="989" spans="9:14">
      <c r="I989" s="2"/>
      <c r="J989" s="2"/>
      <c r="K989" s="2"/>
      <c r="N989" s="2"/>
    </row>
    <row r="990" spans="9:14">
      <c r="I990" s="2"/>
      <c r="J990" s="2"/>
      <c r="K990" s="2"/>
      <c r="N990" s="2"/>
    </row>
    <row r="991" spans="9:14">
      <c r="I991" s="2"/>
      <c r="J991" s="2"/>
      <c r="K991" s="2"/>
      <c r="N991" s="2"/>
    </row>
    <row r="992" spans="9:14">
      <c r="I992" s="2"/>
      <c r="J992" s="2"/>
      <c r="K992" s="2"/>
      <c r="N992" s="2"/>
    </row>
    <row r="993" spans="9:14">
      <c r="I993" s="2"/>
      <c r="J993" s="2"/>
      <c r="K993" s="2"/>
      <c r="N993" s="2"/>
    </row>
    <row r="994" spans="9:14">
      <c r="I994" s="2"/>
      <c r="J994" s="2"/>
      <c r="K994" s="2"/>
      <c r="N994" s="2"/>
    </row>
    <row r="995" spans="9:14">
      <c r="I995" s="2"/>
      <c r="J995" s="2"/>
      <c r="K995" s="2"/>
      <c r="N995" s="2"/>
    </row>
    <row r="996" spans="9:14">
      <c r="I996" s="2"/>
      <c r="J996" s="2"/>
      <c r="K996" s="2"/>
      <c r="N996" s="2"/>
    </row>
    <row r="997" spans="9:14">
      <c r="I997" s="2"/>
      <c r="J997" s="2"/>
      <c r="K997" s="2"/>
      <c r="N997" s="2"/>
    </row>
    <row r="998" spans="9:14">
      <c r="I998" s="2"/>
      <c r="J998" s="2"/>
      <c r="K998" s="2"/>
      <c r="N998" s="2"/>
    </row>
    <row r="999" spans="9:14">
      <c r="I999" s="2"/>
      <c r="J999" s="2"/>
      <c r="K999" s="2"/>
      <c r="N999" s="2"/>
    </row>
    <row r="1000" spans="9:14">
      <c r="I1000" s="2"/>
      <c r="J1000" s="2"/>
      <c r="K1000" s="2"/>
      <c r="N1000" s="2"/>
    </row>
    <row r="1001" spans="9:14">
      <c r="I1001" s="2"/>
      <c r="J1001" s="2"/>
      <c r="K1001" s="2"/>
      <c r="N1001" s="2"/>
    </row>
    <row r="1002" spans="9:14">
      <c r="I1002" s="2"/>
      <c r="J1002" s="2"/>
      <c r="K1002" s="2"/>
      <c r="N1002" s="2"/>
    </row>
    <row r="1003" spans="9:14">
      <c r="I1003" s="2"/>
      <c r="J1003" s="2"/>
      <c r="K1003" s="2"/>
      <c r="N1003" s="2"/>
    </row>
    <row r="1004" spans="9:14">
      <c r="I1004" s="2"/>
      <c r="J1004" s="2"/>
      <c r="K1004" s="2"/>
      <c r="N1004" s="2"/>
    </row>
    <row r="1005" spans="9:14">
      <c r="I1005" s="2"/>
      <c r="J1005" s="2"/>
      <c r="K1005" s="2"/>
      <c r="N1005" s="2"/>
    </row>
    <row r="1006" spans="9:14">
      <c r="I1006" s="2"/>
      <c r="J1006" s="2"/>
      <c r="K1006" s="2"/>
      <c r="N1006" s="2"/>
    </row>
    <row r="1007" spans="9:14">
      <c r="I1007" s="2"/>
      <c r="J1007" s="2"/>
      <c r="K1007" s="2"/>
      <c r="N1007" s="2"/>
    </row>
    <row r="1008" spans="9:14">
      <c r="I1008" s="2"/>
      <c r="J1008" s="2"/>
      <c r="K1008" s="2"/>
      <c r="N1008" s="2"/>
    </row>
    <row r="1009" spans="9:14">
      <c r="I1009" s="2"/>
      <c r="J1009" s="2"/>
      <c r="K1009" s="2"/>
      <c r="N1009" s="2"/>
    </row>
    <row r="1010" spans="9:14">
      <c r="I1010" s="2"/>
      <c r="J1010" s="2"/>
      <c r="K1010" s="2"/>
      <c r="N1010" s="2"/>
    </row>
    <row r="1011" spans="9:14">
      <c r="I1011" s="2"/>
      <c r="J1011" s="2"/>
      <c r="K1011" s="2"/>
      <c r="N1011" s="2"/>
    </row>
    <row r="1012" spans="9:14">
      <c r="I1012" s="2"/>
      <c r="J1012" s="2"/>
      <c r="K1012" s="2"/>
      <c r="N1012" s="2"/>
    </row>
    <row r="1013" spans="9:14">
      <c r="I1013" s="2"/>
      <c r="J1013" s="2"/>
      <c r="K1013" s="2"/>
      <c r="N1013" s="2"/>
    </row>
    <row r="1014" spans="9:14">
      <c r="I1014" s="2"/>
      <c r="J1014" s="2"/>
      <c r="K1014" s="2"/>
      <c r="N1014" s="2"/>
    </row>
    <row r="1015" spans="9:14">
      <c r="I1015" s="2"/>
      <c r="J1015" s="2"/>
      <c r="K1015" s="2"/>
      <c r="N1015" s="2"/>
    </row>
    <row r="1016" spans="9:14">
      <c r="I1016" s="2"/>
      <c r="J1016" s="2"/>
      <c r="K1016" s="2"/>
      <c r="N1016" s="2"/>
    </row>
    <row r="1017" spans="9:14">
      <c r="I1017" s="2"/>
      <c r="J1017" s="2"/>
      <c r="K1017" s="2"/>
      <c r="N1017" s="2"/>
    </row>
    <row r="1018" spans="9:14">
      <c r="I1018" s="2"/>
      <c r="J1018" s="2"/>
      <c r="K1018" s="2"/>
      <c r="N1018" s="2"/>
    </row>
    <row r="1019" spans="9:14">
      <c r="I1019" s="2"/>
      <c r="J1019" s="2"/>
      <c r="K1019" s="2"/>
      <c r="N1019" s="2"/>
    </row>
    <row r="1020" spans="9:14">
      <c r="I1020" s="2"/>
      <c r="J1020" s="2"/>
      <c r="K1020" s="2"/>
      <c r="N1020" s="2"/>
    </row>
    <row r="1021" spans="9:14">
      <c r="I1021" s="2"/>
      <c r="J1021" s="2"/>
      <c r="K1021" s="2"/>
      <c r="N1021" s="2"/>
    </row>
    <row r="1022" spans="9:14">
      <c r="I1022" s="2"/>
      <c r="J1022" s="2"/>
      <c r="K1022" s="2"/>
      <c r="N1022" s="2"/>
    </row>
    <row r="1023" spans="9:14">
      <c r="I1023" s="2"/>
      <c r="J1023" s="2"/>
      <c r="K1023" s="2"/>
      <c r="N1023" s="2"/>
    </row>
    <row r="1024" spans="9:14">
      <c r="I1024" s="2"/>
      <c r="J1024" s="2"/>
      <c r="K1024" s="2"/>
      <c r="N1024" s="2"/>
    </row>
    <row r="1025" spans="9:14">
      <c r="I1025" s="2"/>
      <c r="J1025" s="2"/>
      <c r="K1025" s="2"/>
      <c r="N1025" s="2"/>
    </row>
    <row r="1026" spans="9:14">
      <c r="I1026" s="2"/>
      <c r="J1026" s="2"/>
      <c r="K1026" s="2"/>
      <c r="N1026" s="2"/>
    </row>
    <row r="1027" spans="9:14">
      <c r="I1027" s="2"/>
      <c r="J1027" s="2"/>
      <c r="K1027" s="2"/>
      <c r="N1027" s="2"/>
    </row>
    <row r="1028" spans="9:14">
      <c r="I1028" s="2"/>
      <c r="J1028" s="2"/>
      <c r="K1028" s="2"/>
      <c r="N1028" s="2"/>
    </row>
    <row r="1029" spans="9:14">
      <c r="I1029" s="2"/>
      <c r="J1029" s="2"/>
      <c r="K1029" s="2"/>
      <c r="N1029" s="2"/>
    </row>
    <row r="1030" spans="9:14">
      <c r="I1030" s="2"/>
      <c r="J1030" s="2"/>
      <c r="K1030" s="2"/>
      <c r="N1030" s="2"/>
    </row>
    <row r="1031" spans="9:14">
      <c r="I1031" s="2"/>
      <c r="J1031" s="2"/>
      <c r="K1031" s="2"/>
      <c r="N1031" s="2"/>
    </row>
    <row r="1032" spans="9:14">
      <c r="I1032" s="2"/>
      <c r="J1032" s="2"/>
      <c r="K1032" s="2"/>
      <c r="N1032" s="2"/>
    </row>
    <row r="1033" spans="9:14">
      <c r="I1033" s="2"/>
      <c r="J1033" s="2"/>
      <c r="K1033" s="2"/>
      <c r="N1033" s="2"/>
    </row>
    <row r="1034" spans="9:14">
      <c r="I1034" s="2"/>
      <c r="J1034" s="2"/>
      <c r="K1034" s="2"/>
      <c r="N1034" s="2"/>
    </row>
    <row r="1035" spans="9:14">
      <c r="I1035" s="2"/>
      <c r="J1035" s="2"/>
      <c r="K1035" s="2"/>
      <c r="N1035" s="2"/>
    </row>
    <row r="1036" spans="9:14">
      <c r="I1036" s="2"/>
      <c r="J1036" s="2"/>
      <c r="K1036" s="2"/>
      <c r="N1036" s="2"/>
    </row>
    <row r="1037" spans="9:14">
      <c r="I1037" s="2"/>
      <c r="J1037" s="2"/>
      <c r="K1037" s="2"/>
      <c r="N1037" s="2"/>
    </row>
    <row r="1038" spans="9:14">
      <c r="I1038" s="2"/>
      <c r="J1038" s="2"/>
      <c r="K1038" s="2"/>
      <c r="N1038" s="2"/>
    </row>
    <row r="1039" spans="9:14">
      <c r="I1039" s="2"/>
      <c r="J1039" s="2"/>
      <c r="K1039" s="2"/>
      <c r="N1039" s="2"/>
    </row>
    <row r="1040" spans="9:14">
      <c r="I1040" s="2"/>
      <c r="J1040" s="2"/>
      <c r="K1040" s="2"/>
      <c r="N1040" s="2"/>
    </row>
    <row r="1041" spans="9:14">
      <c r="I1041" s="2"/>
      <c r="J1041" s="2"/>
      <c r="K1041" s="2"/>
      <c r="N1041" s="2"/>
    </row>
    <row r="1042" spans="9:14">
      <c r="I1042" s="2"/>
      <c r="J1042" s="2"/>
      <c r="K1042" s="2"/>
      <c r="N1042" s="2"/>
    </row>
    <row r="1043" spans="9:14">
      <c r="I1043" s="2"/>
      <c r="J1043" s="2"/>
      <c r="K1043" s="2"/>
      <c r="N1043" s="2"/>
    </row>
    <row r="1044" spans="9:14">
      <c r="I1044" s="2"/>
      <c r="J1044" s="2"/>
      <c r="K1044" s="2"/>
      <c r="N1044" s="2"/>
    </row>
    <row r="1045" spans="9:14">
      <c r="I1045" s="2"/>
      <c r="J1045" s="2"/>
      <c r="K1045" s="2"/>
      <c r="N1045" s="2"/>
    </row>
    <row r="1046" spans="9:14">
      <c r="I1046" s="2"/>
      <c r="J1046" s="2"/>
      <c r="K1046" s="2"/>
      <c r="N1046" s="2"/>
    </row>
    <row r="1047" spans="9:14">
      <c r="I1047" s="2"/>
      <c r="J1047" s="2"/>
      <c r="K1047" s="2"/>
      <c r="N1047" s="2"/>
    </row>
    <row r="1048" spans="9:14">
      <c r="I1048" s="2"/>
      <c r="J1048" s="2"/>
      <c r="K1048" s="2"/>
      <c r="N1048" s="2"/>
    </row>
    <row r="1049" spans="9:14">
      <c r="I1049" s="2"/>
      <c r="J1049" s="2"/>
      <c r="K1049" s="2"/>
      <c r="N1049" s="2"/>
    </row>
    <row r="1050" spans="9:14">
      <c r="I1050" s="2"/>
      <c r="J1050" s="2"/>
      <c r="K1050" s="2"/>
      <c r="N1050" s="2"/>
    </row>
    <row r="1051" spans="9:14">
      <c r="I1051" s="2"/>
      <c r="J1051" s="2"/>
      <c r="K1051" s="2"/>
      <c r="N1051" s="2"/>
    </row>
    <row r="1052" spans="9:14">
      <c r="I1052" s="2"/>
      <c r="J1052" s="2"/>
      <c r="K1052" s="2"/>
      <c r="N1052" s="2"/>
    </row>
    <row r="1053" spans="9:14">
      <c r="I1053" s="2"/>
      <c r="J1053" s="2"/>
      <c r="K1053" s="2"/>
      <c r="N1053" s="2"/>
    </row>
    <row r="1054" spans="9:14">
      <c r="I1054" s="2"/>
      <c r="J1054" s="2"/>
      <c r="K1054" s="2"/>
      <c r="N1054" s="2"/>
    </row>
    <row r="1055" spans="9:14">
      <c r="I1055" s="2"/>
      <c r="J1055" s="2"/>
      <c r="K1055" s="2"/>
      <c r="N1055" s="2"/>
    </row>
    <row r="1056" spans="9:14">
      <c r="I1056" s="2"/>
      <c r="J1056" s="2"/>
      <c r="K1056" s="2"/>
      <c r="N1056" s="2"/>
    </row>
    <row r="1057" spans="9:14">
      <c r="I1057" s="2"/>
      <c r="J1057" s="2"/>
      <c r="K1057" s="2"/>
      <c r="N1057" s="2"/>
    </row>
    <row r="1058" spans="9:14">
      <c r="I1058" s="2"/>
      <c r="J1058" s="2"/>
      <c r="K1058" s="2"/>
      <c r="N1058" s="2"/>
    </row>
    <row r="1059" spans="9:14">
      <c r="I1059" s="2"/>
      <c r="J1059" s="2"/>
      <c r="K1059" s="2"/>
      <c r="N1059" s="2"/>
    </row>
    <row r="1060" spans="9:14">
      <c r="I1060" s="2"/>
      <c r="J1060" s="2"/>
      <c r="K1060" s="2"/>
      <c r="N1060" s="2"/>
    </row>
    <row r="1061" spans="9:14">
      <c r="I1061" s="2"/>
      <c r="J1061" s="2"/>
      <c r="K1061" s="2"/>
      <c r="N1061" s="2"/>
    </row>
    <row r="1062" spans="9:14">
      <c r="I1062" s="2"/>
      <c r="J1062" s="2"/>
      <c r="K1062" s="2"/>
      <c r="N1062" s="2"/>
    </row>
    <row r="1063" spans="9:14">
      <c r="I1063" s="2"/>
      <c r="J1063" s="2"/>
      <c r="K1063" s="2"/>
      <c r="N1063" s="2"/>
    </row>
    <row r="1064" spans="9:14">
      <c r="I1064" s="2"/>
      <c r="J1064" s="2"/>
      <c r="K1064" s="2"/>
      <c r="N1064" s="2"/>
    </row>
    <row r="1065" spans="9:14">
      <c r="I1065" s="2"/>
      <c r="J1065" s="2"/>
      <c r="K1065" s="2"/>
      <c r="N106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51"/>
  <sheetViews>
    <sheetView workbookViewId="0"/>
  </sheetViews>
  <sheetFormatPr defaultColWidth="12.6640625" defaultRowHeight="15.75" customHeight="1"/>
  <cols>
    <col min="2" max="2" width="25.88671875" customWidth="1"/>
  </cols>
  <sheetData>
    <row r="1" spans="1:28" ht="13.2">
      <c r="A1" s="1" t="s">
        <v>0</v>
      </c>
      <c r="B1" s="1" t="s">
        <v>1</v>
      </c>
      <c r="I1" s="2"/>
      <c r="J1" s="2"/>
      <c r="K1" s="2"/>
      <c r="N1" s="2"/>
    </row>
    <row r="2" spans="1:28" ht="13.2">
      <c r="C2" s="1" t="s">
        <v>2</v>
      </c>
      <c r="D2" s="1" t="s">
        <v>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  <c r="O2" s="1" t="s">
        <v>13</v>
      </c>
    </row>
    <row r="3" spans="1:28" ht="13.2">
      <c r="B3" s="1" t="s">
        <v>14</v>
      </c>
      <c r="C3" s="11">
        <v>4.8455000000000004</v>
      </c>
      <c r="D3" s="11">
        <v>7.5350000000000001</v>
      </c>
      <c r="E3" s="10"/>
      <c r="F3" s="11">
        <v>0.48720000000000002</v>
      </c>
      <c r="G3" s="11">
        <v>0.79549999999999998</v>
      </c>
      <c r="H3" s="11">
        <v>0.82140000000000002</v>
      </c>
      <c r="I3" s="32">
        <v>0.60899999999999999</v>
      </c>
      <c r="J3" s="32">
        <v>0.75329999999999997</v>
      </c>
      <c r="K3" s="32">
        <v>0.33</v>
      </c>
      <c r="L3" s="11">
        <v>0.80249999999999999</v>
      </c>
      <c r="M3" s="11">
        <v>0.68230000000000002</v>
      </c>
      <c r="N3" s="32">
        <v>0.73799999999999999</v>
      </c>
      <c r="O3" s="11">
        <f t="shared" ref="O3:O10" si="0">AVERAGE(F3,G3,H3,L3,M3)</f>
        <v>0.71778000000000008</v>
      </c>
    </row>
    <row r="4" spans="1:28" ht="13.2">
      <c r="A4" s="7" t="s">
        <v>50</v>
      </c>
      <c r="B4" s="1" t="s">
        <v>16</v>
      </c>
      <c r="C4" s="3">
        <v>5.5590999999999999</v>
      </c>
      <c r="D4" s="1">
        <v>8.6096000000000004</v>
      </c>
      <c r="E4" s="1">
        <f t="shared" ref="E4:E6" si="1">AVERAGE(C4:D4)</f>
        <v>7.0843500000000006</v>
      </c>
      <c r="F4" s="1">
        <v>0.44880999999999999</v>
      </c>
      <c r="G4" s="1">
        <v>0.76431000000000004</v>
      </c>
      <c r="H4" s="1">
        <v>0.79847000000000001</v>
      </c>
      <c r="L4" s="1">
        <v>0.74319999999999997</v>
      </c>
      <c r="M4" s="1">
        <v>0.58840000000000003</v>
      </c>
      <c r="N4" s="1">
        <v>0.73319999999999996</v>
      </c>
      <c r="O4" s="11">
        <f t="shared" si="0"/>
        <v>0.66863799999999995</v>
      </c>
    </row>
    <row r="5" spans="1:28" ht="13.2">
      <c r="B5" s="1" t="s">
        <v>51</v>
      </c>
      <c r="C5" s="4">
        <v>5.5301999999999998</v>
      </c>
      <c r="D5" s="4">
        <v>8.4910999999999994</v>
      </c>
      <c r="E5" s="5">
        <f t="shared" si="1"/>
        <v>7.01065</v>
      </c>
      <c r="F5" s="5">
        <v>0.45391999999999999</v>
      </c>
      <c r="G5" s="5">
        <v>0.76639999999999997</v>
      </c>
      <c r="H5" s="1">
        <v>0.79600000000000004</v>
      </c>
      <c r="L5" s="5">
        <v>0.78839999999999999</v>
      </c>
      <c r="M5" s="5">
        <v>0.65339999999999998</v>
      </c>
      <c r="N5" s="1"/>
      <c r="O5" s="13">
        <f t="shared" si="0"/>
        <v>0.69162400000000013</v>
      </c>
      <c r="P5" s="1"/>
      <c r="Q5" s="1"/>
      <c r="R5" s="1"/>
    </row>
    <row r="6" spans="1:28" ht="13.2">
      <c r="B6" s="21" t="s">
        <v>18</v>
      </c>
      <c r="C6" s="1">
        <v>5.5616000000000003</v>
      </c>
      <c r="D6" s="1">
        <v>8.6135000000000002</v>
      </c>
      <c r="E6" s="1">
        <f t="shared" si="1"/>
        <v>7.0875500000000002</v>
      </c>
      <c r="F6" s="1">
        <v>0.45136999999999999</v>
      </c>
      <c r="G6" s="1">
        <v>0.76556999999999997</v>
      </c>
      <c r="H6" s="5">
        <v>0.80611999999999995</v>
      </c>
      <c r="L6" s="1">
        <v>0.78835999999999995</v>
      </c>
      <c r="M6" s="1">
        <v>0.64065000000000005</v>
      </c>
      <c r="O6" s="11">
        <f t="shared" si="0"/>
        <v>0.69041399999999997</v>
      </c>
    </row>
    <row r="7" spans="1:28" ht="13.2">
      <c r="A7" s="33" t="s">
        <v>52</v>
      </c>
      <c r="B7" s="33" t="s">
        <v>35</v>
      </c>
      <c r="C7" s="33">
        <v>5.6795999999999998</v>
      </c>
      <c r="D7" s="33">
        <v>8.8828999999999994</v>
      </c>
      <c r="E7" s="33"/>
      <c r="F7" s="33">
        <v>0.44453999999999999</v>
      </c>
      <c r="G7" s="33">
        <v>0.75883999999999996</v>
      </c>
      <c r="H7" s="33">
        <v>0.77156000000000002</v>
      </c>
      <c r="I7" s="33"/>
      <c r="J7" s="33"/>
      <c r="K7" s="33"/>
      <c r="L7" s="33">
        <v>0.78564000000000001</v>
      </c>
      <c r="M7" s="33">
        <v>0.65703999999999996</v>
      </c>
      <c r="N7" s="33"/>
      <c r="O7" s="11">
        <f t="shared" si="0"/>
        <v>0.68352400000000002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</row>
    <row r="8" spans="1:28" ht="13.2">
      <c r="A8" s="33"/>
      <c r="B8" s="33" t="s">
        <v>51</v>
      </c>
      <c r="C8" s="34">
        <v>5.6390000000000002</v>
      </c>
      <c r="D8" s="34">
        <v>8.7398000000000007</v>
      </c>
      <c r="E8" s="33"/>
      <c r="F8" s="33">
        <v>0.44966</v>
      </c>
      <c r="G8" s="33">
        <v>0.76346999999999998</v>
      </c>
      <c r="H8" s="33">
        <v>0.78593000000000002</v>
      </c>
      <c r="I8" s="33"/>
      <c r="J8" s="33"/>
      <c r="K8" s="33"/>
      <c r="L8" s="33">
        <v>0.78671999999999997</v>
      </c>
      <c r="M8" s="33">
        <v>0.68952999999999998</v>
      </c>
      <c r="N8" s="33"/>
      <c r="O8" s="11">
        <f t="shared" si="0"/>
        <v>0.69506199999999996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</row>
    <row r="9" spans="1:28" ht="13.2">
      <c r="A9" s="33"/>
      <c r="B9" s="35" t="s">
        <v>18</v>
      </c>
      <c r="C9" s="33">
        <f t="shared" ref="C9:D9" si="2">C7-C4+C6</f>
        <v>5.6821000000000002</v>
      </c>
      <c r="D9" s="33">
        <f t="shared" si="2"/>
        <v>8.8867999999999991</v>
      </c>
      <c r="E9" s="33"/>
      <c r="F9" s="33">
        <f t="shared" ref="F9:H9" si="3">F7-F4+F6</f>
        <v>0.4471</v>
      </c>
      <c r="G9" s="33">
        <f t="shared" si="3"/>
        <v>0.76009999999999989</v>
      </c>
      <c r="H9" s="33">
        <f t="shared" si="3"/>
        <v>0.77920999999999996</v>
      </c>
      <c r="I9" s="33"/>
      <c r="J9" s="33"/>
      <c r="K9" s="33"/>
      <c r="L9" s="33">
        <f t="shared" ref="L9:M9" si="4">L7-L4+L6</f>
        <v>0.83079999999999998</v>
      </c>
      <c r="M9" s="33">
        <f t="shared" si="4"/>
        <v>0.70928999999999998</v>
      </c>
      <c r="N9" s="33"/>
      <c r="O9" s="11">
        <f t="shared" si="0"/>
        <v>0.70529999999999993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</row>
    <row r="10" spans="1:28" ht="13.2">
      <c r="A10" s="1"/>
      <c r="B10" s="1" t="s">
        <v>53</v>
      </c>
      <c r="C10" s="1">
        <f t="shared" ref="C10:D10" si="5">C5+C7-C4</f>
        <v>5.6506999999999996</v>
      </c>
      <c r="D10" s="1">
        <f t="shared" si="5"/>
        <v>8.7643999999999984</v>
      </c>
      <c r="F10" s="1">
        <f t="shared" ref="F10:H10" si="6">F7-F4+F5</f>
        <v>0.44964999999999999</v>
      </c>
      <c r="G10" s="1">
        <f t="shared" si="6"/>
        <v>0.76092999999999988</v>
      </c>
      <c r="H10" s="1">
        <f t="shared" si="6"/>
        <v>0.76909000000000005</v>
      </c>
      <c r="I10" s="1"/>
      <c r="J10" s="1"/>
      <c r="L10" s="1">
        <f t="shared" ref="L10:M10" si="7">L7-L4+L5</f>
        <v>0.83084000000000002</v>
      </c>
      <c r="M10" s="1">
        <f t="shared" si="7"/>
        <v>0.7220399999999999</v>
      </c>
      <c r="O10" s="11">
        <f t="shared" si="0"/>
        <v>0.70650999999999997</v>
      </c>
    </row>
    <row r="11" spans="1:28" ht="13.2">
      <c r="A11" s="7"/>
      <c r="B11" s="7"/>
      <c r="C11" s="11"/>
      <c r="D11" s="11"/>
      <c r="E11" s="10"/>
      <c r="F11" s="13">
        <f t="shared" ref="F11:H11" si="8">F45-F41</f>
        <v>2.7299999999999991E-2</v>
      </c>
      <c r="G11" s="13">
        <f t="shared" si="8"/>
        <v>9.5999999999999974E-2</v>
      </c>
      <c r="H11" s="13">
        <f t="shared" si="8"/>
        <v>-2.4000000000000687E-3</v>
      </c>
      <c r="I11" s="32"/>
      <c r="J11" s="32"/>
      <c r="K11" s="32"/>
      <c r="L11" s="13">
        <f t="shared" ref="L11:M11" si="9">L45-L41</f>
        <v>1.2800000000000034E-2</v>
      </c>
      <c r="M11" s="13">
        <f t="shared" si="9"/>
        <v>3.5599999999999965E-2</v>
      </c>
      <c r="N11" s="32"/>
      <c r="O11" s="11"/>
    </row>
    <row r="12" spans="1:28" ht="13.2">
      <c r="C12" s="1" t="s">
        <v>2</v>
      </c>
      <c r="D12" s="1" t="s">
        <v>3</v>
      </c>
      <c r="F12" s="1" t="s">
        <v>4</v>
      </c>
      <c r="G12" s="1" t="s">
        <v>5</v>
      </c>
      <c r="H12" s="1" t="s">
        <v>6</v>
      </c>
      <c r="I12" s="2"/>
      <c r="J12" s="2"/>
      <c r="K12" s="2"/>
      <c r="L12" s="1" t="s">
        <v>10</v>
      </c>
      <c r="M12" s="1" t="s">
        <v>11</v>
      </c>
      <c r="N12" s="2"/>
      <c r="O12" s="1" t="s">
        <v>13</v>
      </c>
    </row>
    <row r="13" spans="1:28" ht="13.2">
      <c r="A13" s="33"/>
      <c r="B13" s="33" t="s">
        <v>35</v>
      </c>
      <c r="C13" s="36">
        <v>5.6795999999999998</v>
      </c>
      <c r="D13" s="36">
        <v>8.8828999999999994</v>
      </c>
      <c r="E13" s="37"/>
      <c r="F13" s="36">
        <f t="shared" ref="F13:H13" si="10">F7-F11</f>
        <v>0.41724</v>
      </c>
      <c r="G13" s="36">
        <f t="shared" si="10"/>
        <v>0.66283999999999998</v>
      </c>
      <c r="H13" s="36">
        <f t="shared" si="10"/>
        <v>0.77396000000000009</v>
      </c>
      <c r="I13" s="36"/>
      <c r="J13" s="36"/>
      <c r="K13" s="36"/>
      <c r="L13" s="36">
        <f t="shared" ref="L13:M13" si="11">L7-L11</f>
        <v>0.77283999999999997</v>
      </c>
      <c r="M13" s="36">
        <f t="shared" si="11"/>
        <v>0.62143999999999999</v>
      </c>
      <c r="N13" s="36"/>
      <c r="O13" s="36">
        <f t="shared" ref="O13:O15" si="12">AVERAGE(F13,G13,H13,L13,M13)</f>
        <v>0.64966399999999991</v>
      </c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</row>
    <row r="14" spans="1:28" ht="13.2">
      <c r="A14" s="33" t="s">
        <v>24</v>
      </c>
      <c r="B14" s="33" t="s">
        <v>51</v>
      </c>
      <c r="C14" s="38">
        <v>5.6390000000000002</v>
      </c>
      <c r="D14" s="38">
        <v>8.7398000000000007</v>
      </c>
      <c r="E14" s="37"/>
      <c r="F14" s="38">
        <f t="shared" ref="F14:G14" si="13">F13-F4+F5</f>
        <v>0.42235</v>
      </c>
      <c r="G14" s="38">
        <f t="shared" si="13"/>
        <v>0.66492999999999991</v>
      </c>
      <c r="H14" s="38">
        <f>H13-H7+H8</f>
        <v>0.78833000000000009</v>
      </c>
      <c r="I14" s="36"/>
      <c r="J14" s="36"/>
      <c r="K14" s="36"/>
      <c r="L14" s="38">
        <f t="shared" ref="L14:M14" si="14">L13-L4+L5</f>
        <v>0.81803999999999999</v>
      </c>
      <c r="M14" s="38">
        <f t="shared" si="14"/>
        <v>0.68643999999999994</v>
      </c>
      <c r="N14" s="36"/>
      <c r="O14" s="38">
        <f t="shared" si="12"/>
        <v>0.67601800000000001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</row>
    <row r="15" spans="1:28" ht="13.2">
      <c r="A15" s="33"/>
      <c r="B15" s="35" t="s">
        <v>18</v>
      </c>
      <c r="C15" s="36">
        <v>5.6821000000000002</v>
      </c>
      <c r="D15" s="36">
        <v>8.8867999999999991</v>
      </c>
      <c r="E15" s="37"/>
      <c r="F15" s="36">
        <f t="shared" ref="F15:H15" si="15">F13-F4+F6</f>
        <v>0.41980000000000001</v>
      </c>
      <c r="G15" s="36">
        <f t="shared" si="15"/>
        <v>0.66409999999999991</v>
      </c>
      <c r="H15" s="36">
        <f t="shared" si="15"/>
        <v>0.78161000000000003</v>
      </c>
      <c r="I15" s="36"/>
      <c r="J15" s="36"/>
      <c r="K15" s="36"/>
      <c r="L15" s="36">
        <f t="shared" ref="L15:M15" si="16">L13-L4+L6</f>
        <v>0.81799999999999995</v>
      </c>
      <c r="M15" s="36">
        <f t="shared" si="16"/>
        <v>0.67369000000000001</v>
      </c>
      <c r="N15" s="36"/>
      <c r="O15" s="36">
        <f t="shared" si="12"/>
        <v>0.67144000000000004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</row>
    <row r="16" spans="1:28" ht="13.2">
      <c r="A16" s="7"/>
      <c r="B16" s="7"/>
      <c r="C16" s="11"/>
      <c r="D16" s="11"/>
      <c r="E16" s="10"/>
      <c r="F16" s="13"/>
      <c r="G16" s="13"/>
      <c r="H16" s="13"/>
      <c r="I16" s="32"/>
      <c r="J16" s="32"/>
      <c r="K16" s="32"/>
      <c r="L16" s="13"/>
      <c r="M16" s="13"/>
      <c r="N16" s="32"/>
      <c r="O16" s="11"/>
    </row>
    <row r="17" spans="1:28" ht="13.2">
      <c r="B17" s="7" t="s">
        <v>19</v>
      </c>
      <c r="C17" s="11">
        <v>5.5720000000000001</v>
      </c>
      <c r="D17" s="11">
        <v>8.6483000000000008</v>
      </c>
      <c r="E17" s="10"/>
      <c r="F17" s="13">
        <v>0.43940000000000001</v>
      </c>
      <c r="G17" s="11">
        <v>0.76349999999999996</v>
      </c>
      <c r="H17" s="11">
        <v>0.78039999999999998</v>
      </c>
      <c r="I17" s="32">
        <v>0.57679999999999998</v>
      </c>
      <c r="J17" s="32">
        <v>0.68459999999999999</v>
      </c>
      <c r="K17" s="32">
        <v>0.28999999999999998</v>
      </c>
      <c r="L17" s="11">
        <v>0.78669999999999995</v>
      </c>
      <c r="M17" s="11">
        <v>0.60289999999999999</v>
      </c>
      <c r="N17" s="32">
        <v>0.70640000000000003</v>
      </c>
      <c r="O17" s="11">
        <f t="shared" ref="O17:O19" si="17">AVERAGE(F17,G17,H17,L17,M17)</f>
        <v>0.67457999999999996</v>
      </c>
    </row>
    <row r="18" spans="1:28" ht="13.2">
      <c r="B18" s="6" t="s">
        <v>54</v>
      </c>
      <c r="C18" s="13">
        <v>5.5236999999999998</v>
      </c>
      <c r="D18" s="13">
        <v>8.5520999999999994</v>
      </c>
      <c r="E18" s="10"/>
      <c r="F18" s="11">
        <v>0.43859999999999999</v>
      </c>
      <c r="G18" s="13">
        <v>0.76559999999999995</v>
      </c>
      <c r="H18" s="13">
        <v>0.79359999999999997</v>
      </c>
      <c r="I18" s="32">
        <v>0.58140000000000003</v>
      </c>
      <c r="J18" s="39">
        <v>0.69220000000000004</v>
      </c>
      <c r="K18" s="32">
        <v>0.29199999999999998</v>
      </c>
      <c r="L18" s="13">
        <v>0.7873</v>
      </c>
      <c r="M18" s="13">
        <v>0.61729999999999996</v>
      </c>
      <c r="N18" s="32">
        <v>0.70320000000000005</v>
      </c>
      <c r="O18" s="13">
        <f t="shared" si="17"/>
        <v>0.68047999999999997</v>
      </c>
    </row>
    <row r="19" spans="1:28" ht="13.2">
      <c r="B19" s="6" t="s">
        <v>18</v>
      </c>
      <c r="C19" s="10">
        <v>5.5659999999999998</v>
      </c>
      <c r="D19" s="10">
        <v>8.6329999999999991</v>
      </c>
      <c r="E19" s="10"/>
      <c r="F19" s="10">
        <v>0.437</v>
      </c>
      <c r="G19" s="10">
        <v>0.76</v>
      </c>
      <c r="H19" s="10">
        <v>0.78500000000000003</v>
      </c>
      <c r="I19" s="40"/>
      <c r="J19" s="40"/>
      <c r="K19" s="40"/>
      <c r="L19" s="10">
        <v>0.78700000000000003</v>
      </c>
      <c r="M19" s="10">
        <v>0.60599999999999998</v>
      </c>
      <c r="N19" s="40"/>
      <c r="O19" s="11">
        <f t="shared" si="17"/>
        <v>0.67500000000000004</v>
      </c>
    </row>
    <row r="20" spans="1:28" ht="13.2">
      <c r="A20" s="23"/>
      <c r="B20" s="23"/>
      <c r="C20" s="23"/>
      <c r="D20" s="23"/>
      <c r="E20" s="23"/>
      <c r="F20" s="23"/>
      <c r="G20" s="23"/>
      <c r="H20" s="23"/>
      <c r="I20" s="41"/>
      <c r="J20" s="41"/>
      <c r="K20" s="41"/>
      <c r="L20" s="23"/>
      <c r="M20" s="23"/>
      <c r="N20" s="41"/>
      <c r="O20" s="22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</row>
    <row r="21" spans="1:28" ht="13.2"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/>
    </row>
    <row r="22" spans="1:28" ht="13.2">
      <c r="B22" s="7" t="s">
        <v>22</v>
      </c>
      <c r="C22" s="10">
        <v>5.4240000000000004</v>
      </c>
      <c r="D22" s="10">
        <v>8.3079999999999998</v>
      </c>
      <c r="E22" s="10"/>
      <c r="F22" s="10">
        <v>0.44900000000000001</v>
      </c>
      <c r="G22" s="10">
        <v>0.76400000000000001</v>
      </c>
      <c r="H22" s="10">
        <v>0.78500000000000003</v>
      </c>
      <c r="I22" s="10"/>
      <c r="J22" s="10"/>
      <c r="K22" s="10"/>
      <c r="L22" s="10">
        <v>0.78100000000000003</v>
      </c>
      <c r="M22" s="10">
        <v>0.66700000000000004</v>
      </c>
      <c r="N22" s="10"/>
      <c r="O22" s="11">
        <f t="shared" ref="O22:O24" si="18">AVERAGE(F22,G22,H22,L22,M22)</f>
        <v>0.68920000000000015</v>
      </c>
    </row>
    <row r="23" spans="1:28" ht="13.2">
      <c r="B23" s="6" t="s">
        <v>23</v>
      </c>
      <c r="C23" s="12">
        <v>5.3819999999999997</v>
      </c>
      <c r="D23" s="12">
        <v>8.2769999999999992</v>
      </c>
      <c r="E23" s="10"/>
      <c r="F23" s="12">
        <v>0.45300000000000001</v>
      </c>
      <c r="G23" s="12">
        <v>0.77400000000000002</v>
      </c>
      <c r="H23" s="12">
        <v>0.80800000000000005</v>
      </c>
      <c r="I23" s="10"/>
      <c r="J23" s="10"/>
      <c r="K23" s="10"/>
      <c r="L23" s="12">
        <v>0.79</v>
      </c>
      <c r="M23" s="12">
        <v>0.67100000000000004</v>
      </c>
      <c r="N23" s="10"/>
      <c r="O23" s="13">
        <f t="shared" si="18"/>
        <v>0.69920000000000004</v>
      </c>
    </row>
    <row r="24" spans="1:28" ht="13.2">
      <c r="B24" s="6" t="s">
        <v>18</v>
      </c>
      <c r="C24" s="10">
        <v>5.4180000000000001</v>
      </c>
      <c r="D24" s="10">
        <v>8.3019999999999996</v>
      </c>
      <c r="E24" s="10"/>
      <c r="F24" s="10">
        <v>0.44900000000000001</v>
      </c>
      <c r="G24" s="10">
        <v>0.76400000000000001</v>
      </c>
      <c r="H24" s="10">
        <v>0.78100000000000003</v>
      </c>
      <c r="I24" s="10"/>
      <c r="J24" s="10"/>
      <c r="K24" s="10"/>
      <c r="L24" s="10">
        <v>0.78300000000000003</v>
      </c>
      <c r="M24" s="10">
        <v>0.66400000000000003</v>
      </c>
      <c r="N24" s="10"/>
      <c r="O24" s="11">
        <f t="shared" si="18"/>
        <v>0.68820000000000003</v>
      </c>
    </row>
    <row r="25" spans="1:28" ht="13.2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1"/>
    </row>
    <row r="26" spans="1:28" ht="13.2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1"/>
    </row>
    <row r="27" spans="1:28" ht="13.2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1"/>
    </row>
    <row r="28" spans="1:28" ht="13.2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1"/>
    </row>
    <row r="29" spans="1:28" ht="13.2">
      <c r="B29" s="1" t="s">
        <v>25</v>
      </c>
      <c r="C29" s="11">
        <v>5.6222000000000003</v>
      </c>
      <c r="D29" s="11">
        <v>8.5656999999999996</v>
      </c>
      <c r="E29" s="10"/>
      <c r="F29" s="11">
        <v>0.42149999999999999</v>
      </c>
      <c r="G29" s="11">
        <v>0.75880000000000003</v>
      </c>
      <c r="H29" s="11">
        <v>0.79020000000000001</v>
      </c>
      <c r="I29" s="32">
        <v>0.57410000000000005</v>
      </c>
      <c r="J29" s="32">
        <v>0.74229999999999996</v>
      </c>
      <c r="K29" s="32">
        <v>0.308</v>
      </c>
      <c r="L29" s="11">
        <v>0.78939999999999999</v>
      </c>
      <c r="M29" s="11">
        <v>0.58120000000000005</v>
      </c>
      <c r="N29" s="32">
        <v>0.69689999999999996</v>
      </c>
      <c r="O29" s="11">
        <f t="shared" ref="O29:O31" si="19">AVERAGE(F29,G29,H29,L29,M29)</f>
        <v>0.66822000000000004</v>
      </c>
    </row>
    <row r="30" spans="1:28" ht="13.2">
      <c r="B30" s="6" t="s">
        <v>26</v>
      </c>
      <c r="C30" s="13">
        <v>5.5873999999999997</v>
      </c>
      <c r="D30" s="13">
        <v>8.5238999999999994</v>
      </c>
      <c r="E30" s="10"/>
      <c r="F30" s="13">
        <v>0.43340000000000001</v>
      </c>
      <c r="G30" s="13">
        <v>0.75929999999999997</v>
      </c>
      <c r="H30" s="11">
        <v>0.78839999999999999</v>
      </c>
      <c r="I30" s="32">
        <v>0.57579999999999998</v>
      </c>
      <c r="J30" s="32">
        <v>0.73719999999999997</v>
      </c>
      <c r="K30" s="32">
        <v>0.314</v>
      </c>
      <c r="L30" s="13">
        <v>0.79110000000000003</v>
      </c>
      <c r="M30" s="13">
        <v>0.60650000000000004</v>
      </c>
      <c r="N30" s="32">
        <v>0.68430000000000002</v>
      </c>
      <c r="O30" s="13">
        <f t="shared" si="19"/>
        <v>0.67574000000000001</v>
      </c>
    </row>
    <row r="31" spans="1:28" ht="13.2">
      <c r="B31" s="6" t="s">
        <v>18</v>
      </c>
      <c r="C31" s="10">
        <v>5.9009999999999998</v>
      </c>
      <c r="D31" s="10">
        <v>8.9909999999999997</v>
      </c>
      <c r="E31" s="10"/>
      <c r="F31" s="10">
        <v>0.41699999999999998</v>
      </c>
      <c r="G31" s="10">
        <v>0.75</v>
      </c>
      <c r="H31" s="12">
        <v>0.79100000000000004</v>
      </c>
      <c r="I31" s="40"/>
      <c r="J31" s="40"/>
      <c r="K31" s="40"/>
      <c r="L31" s="10">
        <v>0.78500000000000003</v>
      </c>
      <c r="M31" s="10">
        <v>0.59799999999999998</v>
      </c>
      <c r="N31" s="40"/>
      <c r="O31" s="11">
        <f t="shared" si="19"/>
        <v>0.66820000000000002</v>
      </c>
    </row>
    <row r="32" spans="1:28" ht="13.2">
      <c r="C32" s="10"/>
      <c r="D32" s="10"/>
      <c r="E32" s="10"/>
      <c r="F32" s="10"/>
      <c r="G32" s="10"/>
      <c r="H32" s="10"/>
      <c r="I32" s="40"/>
      <c r="J32" s="40"/>
      <c r="K32" s="40"/>
      <c r="L32" s="10"/>
      <c r="M32" s="10"/>
      <c r="N32" s="40"/>
      <c r="O32" s="11"/>
    </row>
    <row r="33" spans="1:17" ht="13.2">
      <c r="C33" s="10"/>
      <c r="D33" s="10"/>
      <c r="E33" s="10"/>
      <c r="F33" s="10"/>
      <c r="G33" s="10"/>
      <c r="H33" s="10"/>
      <c r="I33" s="40"/>
      <c r="J33" s="40"/>
      <c r="K33" s="40"/>
      <c r="L33" s="10"/>
      <c r="M33" s="10"/>
      <c r="N33" s="40"/>
      <c r="O33" s="11"/>
    </row>
    <row r="34" spans="1:17" ht="13.2">
      <c r="C34" s="10"/>
      <c r="D34" s="10"/>
      <c r="E34" s="10"/>
      <c r="F34" s="10"/>
      <c r="G34" s="10"/>
      <c r="H34" s="10"/>
      <c r="I34" s="40"/>
      <c r="J34" s="40"/>
      <c r="K34" s="40"/>
      <c r="L34" s="10"/>
      <c r="M34" s="10"/>
      <c r="N34" s="40"/>
      <c r="O34" s="11"/>
    </row>
    <row r="35" spans="1:17" ht="13.2">
      <c r="C35" s="10"/>
      <c r="D35" s="10"/>
      <c r="E35" s="10"/>
      <c r="F35" s="10"/>
      <c r="G35" s="10"/>
      <c r="H35" s="10"/>
      <c r="I35" s="40"/>
      <c r="J35" s="40"/>
      <c r="K35" s="40"/>
      <c r="L35" s="10"/>
      <c r="M35" s="10"/>
      <c r="N35" s="40"/>
      <c r="O35" s="11"/>
    </row>
    <row r="36" spans="1:17" ht="13.2">
      <c r="C36" s="10"/>
      <c r="D36" s="10"/>
      <c r="E36" s="10"/>
      <c r="F36" s="10"/>
      <c r="G36" s="10"/>
      <c r="H36" s="10"/>
      <c r="I36" s="40"/>
      <c r="J36" s="40"/>
      <c r="K36" s="40"/>
      <c r="L36" s="10"/>
      <c r="M36" s="10"/>
      <c r="N36" s="40"/>
      <c r="O36" s="11"/>
    </row>
    <row r="37" spans="1:17" ht="13.2">
      <c r="C37" s="10"/>
      <c r="D37" s="10"/>
      <c r="E37" s="10"/>
      <c r="F37" s="10"/>
      <c r="G37" s="10"/>
      <c r="H37" s="10"/>
      <c r="I37" s="40"/>
      <c r="J37" s="40"/>
      <c r="K37" s="40"/>
      <c r="L37" s="10"/>
      <c r="M37" s="10"/>
      <c r="N37" s="40"/>
      <c r="O37" s="11"/>
    </row>
    <row r="38" spans="1:17" ht="13.2">
      <c r="C38" s="10"/>
      <c r="D38" s="10"/>
      <c r="E38" s="10"/>
      <c r="F38" s="10"/>
      <c r="G38" s="10"/>
      <c r="H38" s="10"/>
      <c r="I38" s="40"/>
      <c r="J38" s="40"/>
      <c r="K38" s="40"/>
      <c r="L38" s="10"/>
      <c r="M38" s="10"/>
      <c r="N38" s="40"/>
      <c r="O38" s="11"/>
    </row>
    <row r="39" spans="1:17" ht="13.2">
      <c r="C39" s="10"/>
      <c r="D39" s="10"/>
      <c r="E39" s="10"/>
      <c r="F39" s="10"/>
      <c r="G39" s="10"/>
      <c r="H39" s="10"/>
      <c r="I39" s="40"/>
      <c r="J39" s="40"/>
      <c r="K39" s="40"/>
      <c r="L39" s="10"/>
      <c r="M39" s="10"/>
      <c r="N39" s="40"/>
      <c r="O39" s="11"/>
    </row>
    <row r="40" spans="1:17" ht="13.2">
      <c r="B40" s="1" t="s">
        <v>14</v>
      </c>
      <c r="C40" s="11">
        <v>5.5221</v>
      </c>
      <c r="D40" s="11">
        <v>8.4090000000000007</v>
      </c>
      <c r="E40" s="10"/>
      <c r="F40" s="11">
        <v>0.51280000000000003</v>
      </c>
      <c r="G40" s="11">
        <v>0.81569999999999998</v>
      </c>
      <c r="H40" s="11">
        <v>0.82050000000000001</v>
      </c>
      <c r="I40" s="32">
        <v>0.60019999999999996</v>
      </c>
      <c r="J40" s="32">
        <v>0.75780000000000003</v>
      </c>
      <c r="K40" s="32">
        <v>0.33400000000000002</v>
      </c>
      <c r="L40" s="11">
        <v>0.8014</v>
      </c>
      <c r="M40" s="11">
        <v>0.69310000000000005</v>
      </c>
      <c r="N40" s="32">
        <v>0.73719999999999997</v>
      </c>
      <c r="O40" s="11">
        <f t="shared" ref="O40:O41" si="20">AVERAGE(F40,G40,H40,L40,M40)</f>
        <v>0.72870000000000013</v>
      </c>
    </row>
    <row r="41" spans="1:17" ht="13.2">
      <c r="A41" s="7" t="s">
        <v>27</v>
      </c>
      <c r="B41" s="1" t="s">
        <v>55</v>
      </c>
      <c r="C41" s="3">
        <v>10.9466</v>
      </c>
      <c r="D41" s="1">
        <v>18.0442</v>
      </c>
      <c r="E41" s="1">
        <f>AVERAGE(C41:D41)</f>
        <v>14.4954</v>
      </c>
      <c r="F41" s="1">
        <v>0.38569999999999999</v>
      </c>
      <c r="G41" s="1">
        <v>0.64900000000000002</v>
      </c>
      <c r="H41" s="5">
        <v>0.71740000000000004</v>
      </c>
      <c r="I41" s="1">
        <v>0.51480000000000004</v>
      </c>
      <c r="J41" s="5">
        <v>0.66500000000000004</v>
      </c>
      <c r="K41" s="1">
        <v>0.29799999999999999</v>
      </c>
      <c r="L41" s="1">
        <v>0.74319999999999997</v>
      </c>
      <c r="M41" s="1">
        <v>0.58840000000000003</v>
      </c>
      <c r="N41" s="2">
        <v>0.67959999999999998</v>
      </c>
      <c r="O41" s="1">
        <f t="shared" si="20"/>
        <v>0.61673999999999995</v>
      </c>
    </row>
    <row r="42" spans="1:17" ht="13.2">
      <c r="B42" s="1" t="s">
        <v>56</v>
      </c>
      <c r="C42" s="4">
        <v>8.7308000000000003</v>
      </c>
      <c r="D42" s="4">
        <v>14.167999999999999</v>
      </c>
      <c r="E42" s="5"/>
      <c r="F42" s="5">
        <v>0.40955599999999998</v>
      </c>
      <c r="G42" s="5">
        <v>0.72853500000000004</v>
      </c>
      <c r="H42" s="1">
        <v>0.69388399999999995</v>
      </c>
      <c r="L42" s="5">
        <v>0.75625699999999996</v>
      </c>
      <c r="M42" s="5">
        <v>0.61010799999999998</v>
      </c>
      <c r="O42" s="5">
        <v>0.63966800000000001</v>
      </c>
      <c r="P42" s="1"/>
      <c r="Q42" s="1"/>
    </row>
    <row r="43" spans="1:17" ht="13.2">
      <c r="B43" s="6" t="s">
        <v>18</v>
      </c>
      <c r="C43" s="1">
        <v>10.132099999999999</v>
      </c>
      <c r="D43" s="1">
        <v>16.993600000000001</v>
      </c>
      <c r="F43" s="1">
        <v>0.35921500000000001</v>
      </c>
      <c r="G43" s="1">
        <v>0.67508400000000002</v>
      </c>
      <c r="H43" s="1">
        <v>0.64678899999999995</v>
      </c>
      <c r="L43" s="1">
        <v>0.73394999999999999</v>
      </c>
      <c r="M43" s="1">
        <v>0.56678700000000004</v>
      </c>
      <c r="O43" s="1">
        <f>AVERAGE(F43,G43,H43,L43,M43)</f>
        <v>0.59636500000000003</v>
      </c>
    </row>
    <row r="44" spans="1:17" ht="13.2">
      <c r="A44" s="7"/>
      <c r="B44" s="7"/>
      <c r="C44" s="11"/>
      <c r="D44" s="11"/>
      <c r="E44" s="10"/>
      <c r="F44" s="11"/>
      <c r="G44" s="11"/>
      <c r="H44" s="11"/>
      <c r="I44" s="32"/>
      <c r="J44" s="32"/>
      <c r="K44" s="32"/>
      <c r="L44" s="11"/>
      <c r="M44" s="11"/>
      <c r="N44" s="32"/>
      <c r="O44" s="11"/>
    </row>
    <row r="45" spans="1:17" ht="13.2">
      <c r="B45" s="7" t="s">
        <v>19</v>
      </c>
      <c r="C45" s="11">
        <v>8.0936000000000003</v>
      </c>
      <c r="D45" s="11">
        <v>13.1569</v>
      </c>
      <c r="E45" s="10"/>
      <c r="F45" s="11">
        <v>0.41299999999999998</v>
      </c>
      <c r="G45" s="11">
        <v>0.745</v>
      </c>
      <c r="H45" s="11">
        <v>0.71499999999999997</v>
      </c>
      <c r="I45" s="32">
        <v>0.53639999999999999</v>
      </c>
      <c r="J45" s="32">
        <v>0.66969999999999996</v>
      </c>
      <c r="K45" s="32">
        <v>0.30399999999999999</v>
      </c>
      <c r="L45" s="11">
        <v>0.75600000000000001</v>
      </c>
      <c r="M45" s="11">
        <v>0.624</v>
      </c>
      <c r="N45" s="32">
        <v>0.68189999999999995</v>
      </c>
      <c r="O45" s="11">
        <f t="shared" ref="O45:O47" si="21">AVERAGE(F45,G45,H45,L45,M45)</f>
        <v>0.65059999999999996</v>
      </c>
    </row>
    <row r="46" spans="1:17" ht="13.2">
      <c r="A46" s="7"/>
      <c r="B46" s="21" t="s">
        <v>29</v>
      </c>
      <c r="C46" s="13">
        <v>7.8933</v>
      </c>
      <c r="D46" s="13">
        <v>12.8506</v>
      </c>
      <c r="E46" s="10"/>
      <c r="F46" s="11">
        <v>0.40699999999999997</v>
      </c>
      <c r="G46" s="13">
        <v>0.749</v>
      </c>
      <c r="H46" s="13">
        <v>0.72399999999999998</v>
      </c>
      <c r="I46" s="32">
        <v>0.54110000000000003</v>
      </c>
      <c r="J46" s="32">
        <v>0.6532</v>
      </c>
      <c r="K46" s="32">
        <v>0.3</v>
      </c>
      <c r="L46" s="13">
        <v>0.76400000000000001</v>
      </c>
      <c r="M46" s="13">
        <v>0.63800000000000001</v>
      </c>
      <c r="N46" s="32">
        <v>0.68899999999999995</v>
      </c>
      <c r="O46" s="13">
        <f t="shared" si="21"/>
        <v>0.65639999999999998</v>
      </c>
    </row>
    <row r="47" spans="1:17" ht="13.2">
      <c r="B47" s="6" t="s">
        <v>18</v>
      </c>
      <c r="C47" s="11">
        <v>8.0530000000000008</v>
      </c>
      <c r="D47" s="11">
        <v>13.142899999999999</v>
      </c>
      <c r="E47" s="10"/>
      <c r="F47" s="11">
        <v>0.41039999999999999</v>
      </c>
      <c r="G47" s="11">
        <v>0.73609999999999998</v>
      </c>
      <c r="H47" s="11">
        <v>0.71899999999999997</v>
      </c>
      <c r="I47" s="40"/>
      <c r="J47" s="40"/>
      <c r="K47" s="40"/>
      <c r="L47" s="11">
        <v>0.75949999999999995</v>
      </c>
      <c r="M47" s="11">
        <v>0.63180000000000003</v>
      </c>
      <c r="N47" s="40"/>
      <c r="O47" s="11">
        <f t="shared" si="21"/>
        <v>0.65136000000000005</v>
      </c>
    </row>
    <row r="48" spans="1:17" ht="13.2">
      <c r="C48" s="10"/>
      <c r="D48" s="10"/>
      <c r="E48" s="10"/>
      <c r="F48" s="10"/>
      <c r="G48" s="10"/>
      <c r="H48" s="10"/>
      <c r="I48" s="40"/>
      <c r="J48" s="40"/>
      <c r="K48" s="40"/>
      <c r="L48" s="10"/>
      <c r="M48" s="10"/>
      <c r="N48" s="40"/>
      <c r="O48" s="13"/>
    </row>
    <row r="49" spans="1:15" ht="13.2">
      <c r="B49" s="7" t="s">
        <v>22</v>
      </c>
      <c r="C49" s="10">
        <v>7.22</v>
      </c>
      <c r="D49" s="10">
        <v>11.566000000000001</v>
      </c>
      <c r="E49" s="10"/>
      <c r="F49" s="10">
        <v>0.41299999999999998</v>
      </c>
      <c r="G49" s="10">
        <v>0.73899999999999999</v>
      </c>
      <c r="H49" s="12">
        <v>0.76700000000000002</v>
      </c>
      <c r="I49" s="40"/>
      <c r="J49" s="40"/>
      <c r="K49" s="40"/>
      <c r="L49" s="10">
        <v>0.76</v>
      </c>
      <c r="M49" s="10">
        <v>0.70299999999999996</v>
      </c>
      <c r="N49" s="40"/>
      <c r="O49" s="11">
        <f t="shared" ref="O49:O51" si="22">AVERAGE(F49,G49,H49,L49,M49)</f>
        <v>0.6764</v>
      </c>
    </row>
    <row r="50" spans="1:15" ht="13.2">
      <c r="B50" s="6" t="s">
        <v>23</v>
      </c>
      <c r="C50" s="12">
        <v>7.2169999999999996</v>
      </c>
      <c r="D50" s="12">
        <v>11.563000000000001</v>
      </c>
      <c r="E50" s="10"/>
      <c r="F50" s="12">
        <v>0.41499999999999998</v>
      </c>
      <c r="G50" s="12">
        <v>0.74099999999999999</v>
      </c>
      <c r="H50" s="12">
        <v>0.76700000000000002</v>
      </c>
      <c r="I50" s="40"/>
      <c r="J50" s="40"/>
      <c r="K50" s="40"/>
      <c r="L50" s="12">
        <v>0.76200000000000001</v>
      </c>
      <c r="M50" s="12">
        <v>0.70499999999999996</v>
      </c>
      <c r="N50" s="40"/>
      <c r="O50" s="13">
        <f t="shared" si="22"/>
        <v>0.67800000000000005</v>
      </c>
    </row>
    <row r="51" spans="1:15" ht="13.2">
      <c r="B51" s="6" t="s">
        <v>18</v>
      </c>
      <c r="C51" s="10">
        <v>7.2210000000000001</v>
      </c>
      <c r="D51" s="10">
        <v>11.567</v>
      </c>
      <c r="E51" s="10"/>
      <c r="F51" s="10">
        <v>0.41199999999999998</v>
      </c>
      <c r="G51" s="10">
        <v>0.73699999999999999</v>
      </c>
      <c r="H51" s="10">
        <v>0.76600000000000001</v>
      </c>
      <c r="I51" s="40"/>
      <c r="J51" s="40"/>
      <c r="K51" s="40"/>
      <c r="L51" s="10">
        <v>0.76100000000000001</v>
      </c>
      <c r="M51" s="10">
        <v>0.70299999999999996</v>
      </c>
      <c r="N51" s="40"/>
      <c r="O51" s="11">
        <f t="shared" si="22"/>
        <v>0.67579999999999996</v>
      </c>
    </row>
    <row r="52" spans="1:15" ht="13.2">
      <c r="C52" s="10"/>
      <c r="D52" s="10"/>
      <c r="E52" s="10"/>
      <c r="F52" s="10"/>
      <c r="G52" s="10"/>
      <c r="H52" s="10"/>
      <c r="I52" s="40"/>
      <c r="J52" s="40"/>
      <c r="K52" s="40"/>
      <c r="L52" s="10"/>
      <c r="M52" s="10"/>
      <c r="N52" s="40"/>
      <c r="O52" s="11"/>
    </row>
    <row r="53" spans="1:15" ht="13.2">
      <c r="C53" s="10"/>
      <c r="D53" s="10"/>
      <c r="E53" s="10"/>
      <c r="F53" s="10"/>
      <c r="G53" s="10"/>
      <c r="H53" s="10"/>
      <c r="I53" s="40"/>
      <c r="J53" s="40"/>
      <c r="K53" s="40"/>
      <c r="L53" s="10"/>
      <c r="M53" s="10"/>
      <c r="N53" s="40"/>
      <c r="O53" s="11"/>
    </row>
    <row r="54" spans="1:15" ht="13.2">
      <c r="B54" s="1" t="s">
        <v>25</v>
      </c>
      <c r="C54" s="11">
        <v>7.4431000000000003</v>
      </c>
      <c r="D54" s="11">
        <v>11.9236</v>
      </c>
      <c r="E54" s="10"/>
      <c r="F54" s="13">
        <v>0.42149999999999999</v>
      </c>
      <c r="G54" s="11">
        <v>0.75629999999999997</v>
      </c>
      <c r="H54" s="11">
        <v>0.73519999999999996</v>
      </c>
      <c r="I54" s="32">
        <v>0.54020000000000001</v>
      </c>
      <c r="J54" s="32">
        <v>0.67669999999999997</v>
      </c>
      <c r="K54" s="32">
        <v>0.29399999999999998</v>
      </c>
      <c r="L54" s="13">
        <v>0.76819999999999999</v>
      </c>
      <c r="M54" s="11">
        <v>0.62819999999999998</v>
      </c>
      <c r="N54" s="32">
        <v>0.67959999999999998</v>
      </c>
      <c r="O54" s="11">
        <f t="shared" ref="O54:O56" si="23">AVERAGE(F54,G54,H54,L54,M54)</f>
        <v>0.66187999999999991</v>
      </c>
    </row>
    <row r="55" spans="1:15" ht="13.2">
      <c r="B55" s="6" t="s">
        <v>26</v>
      </c>
      <c r="C55" s="13">
        <v>7.3810000000000002</v>
      </c>
      <c r="D55" s="13">
        <v>11.8812</v>
      </c>
      <c r="E55" s="10"/>
      <c r="F55" s="11">
        <v>0.41470000000000001</v>
      </c>
      <c r="G55" s="13">
        <v>0.76049999999999995</v>
      </c>
      <c r="H55" s="13">
        <v>0.74950000000000006</v>
      </c>
      <c r="I55" s="32">
        <v>0.54300000000000004</v>
      </c>
      <c r="J55" s="32">
        <v>0.68810000000000004</v>
      </c>
      <c r="K55" s="32">
        <v>0.26600000000000001</v>
      </c>
      <c r="L55" s="13">
        <v>0.76819999999999999</v>
      </c>
      <c r="M55" s="13">
        <v>0.66059999999999997</v>
      </c>
      <c r="N55" s="32">
        <v>0.68979999999999997</v>
      </c>
      <c r="O55" s="13">
        <f t="shared" si="23"/>
        <v>0.67069999999999996</v>
      </c>
    </row>
    <row r="56" spans="1:15" ht="13.2">
      <c r="B56" s="6" t="s">
        <v>18</v>
      </c>
      <c r="C56" s="10">
        <v>7.4480000000000004</v>
      </c>
      <c r="D56" s="10">
        <v>12.095000000000001</v>
      </c>
      <c r="E56" s="10"/>
      <c r="F56" s="10">
        <v>0.42</v>
      </c>
      <c r="G56" s="10">
        <v>0.753</v>
      </c>
      <c r="H56" s="10">
        <v>0.746</v>
      </c>
      <c r="I56" s="40"/>
      <c r="J56" s="40"/>
      <c r="K56" s="40"/>
      <c r="L56" s="10">
        <v>0.76600000000000001</v>
      </c>
      <c r="M56" s="10">
        <v>0.63800000000000001</v>
      </c>
      <c r="N56" s="40"/>
      <c r="O56" s="11">
        <f t="shared" si="23"/>
        <v>0.66459999999999997</v>
      </c>
    </row>
    <row r="57" spans="1:15" ht="13.2">
      <c r="C57" s="10"/>
      <c r="D57" s="10"/>
      <c r="E57" s="10"/>
      <c r="F57" s="10"/>
      <c r="G57" s="10"/>
      <c r="H57" s="10"/>
      <c r="I57" s="40"/>
      <c r="J57" s="40"/>
      <c r="K57" s="40"/>
      <c r="L57" s="10"/>
      <c r="M57" s="10"/>
      <c r="N57" s="40"/>
      <c r="O57" s="11"/>
    </row>
    <row r="58" spans="1:15" ht="13.2">
      <c r="C58" s="10"/>
      <c r="D58" s="10"/>
      <c r="E58" s="10"/>
      <c r="F58" s="10"/>
      <c r="G58" s="10"/>
      <c r="H58" s="10"/>
      <c r="I58" s="40"/>
      <c r="J58" s="40"/>
      <c r="K58" s="40"/>
      <c r="L58" s="10"/>
      <c r="M58" s="10"/>
      <c r="N58" s="40"/>
      <c r="O58" s="11"/>
    </row>
    <row r="59" spans="1:15" ht="13.2">
      <c r="C59" s="10"/>
      <c r="D59" s="10"/>
      <c r="E59" s="10"/>
      <c r="F59" s="10"/>
      <c r="G59" s="10"/>
      <c r="H59" s="10"/>
      <c r="I59" s="40"/>
      <c r="J59" s="40"/>
      <c r="K59" s="40"/>
      <c r="L59" s="10"/>
      <c r="M59" s="10"/>
      <c r="N59" s="40"/>
      <c r="O59" s="11"/>
    </row>
    <row r="60" spans="1:15" ht="13.2">
      <c r="C60" s="10"/>
      <c r="D60" s="10"/>
      <c r="E60" s="10"/>
      <c r="F60" s="10"/>
      <c r="G60" s="10"/>
      <c r="H60" s="10"/>
      <c r="I60" s="40"/>
      <c r="J60" s="40"/>
      <c r="K60" s="40"/>
      <c r="L60" s="10"/>
      <c r="M60" s="10"/>
      <c r="N60" s="40"/>
      <c r="O60" s="11"/>
    </row>
    <row r="61" spans="1:15" ht="13.2">
      <c r="A61" s="1" t="s">
        <v>33</v>
      </c>
      <c r="B61" s="1" t="s">
        <v>14</v>
      </c>
      <c r="C61" s="11">
        <v>5.4424999999999999</v>
      </c>
      <c r="D61" s="11">
        <v>8.3462999999999994</v>
      </c>
      <c r="E61" s="10"/>
      <c r="F61" s="11">
        <v>0.50429999999999997</v>
      </c>
      <c r="G61" s="11">
        <v>0.80089999999999995</v>
      </c>
      <c r="H61" s="11">
        <v>0.8135</v>
      </c>
      <c r="I61" s="32">
        <v>0.6018</v>
      </c>
      <c r="J61" s="32">
        <v>0.7601</v>
      </c>
      <c r="K61" s="32">
        <v>0.34799999999999998</v>
      </c>
      <c r="L61" s="11">
        <v>0.79710000000000003</v>
      </c>
      <c r="M61" s="11">
        <v>0.69679999999999997</v>
      </c>
      <c r="N61" s="32">
        <v>0.72529999999999994</v>
      </c>
      <c r="O61" s="11">
        <f t="shared" ref="O61:O64" si="24">AVERAGE(F61,G61,H61,L61,M61)</f>
        <v>0.72252000000000005</v>
      </c>
    </row>
    <row r="62" spans="1:15" ht="13.2">
      <c r="B62" s="1" t="s">
        <v>16</v>
      </c>
      <c r="C62" s="3">
        <v>10.7928</v>
      </c>
      <c r="D62" s="3">
        <v>17.638300000000001</v>
      </c>
      <c r="E62" s="1">
        <f t="shared" ref="E62:E64" si="25">AVERAGE(C62:D62)</f>
        <v>14.21555</v>
      </c>
      <c r="F62" s="1">
        <v>0.39761000000000002</v>
      </c>
      <c r="G62" s="1">
        <v>0.70118000000000003</v>
      </c>
      <c r="H62" s="1">
        <v>0.74709000000000003</v>
      </c>
      <c r="L62" s="1">
        <v>0.74592000000000003</v>
      </c>
      <c r="M62" s="1">
        <v>0.77256000000000002</v>
      </c>
      <c r="O62" s="1">
        <f t="shared" si="24"/>
        <v>0.67287200000000003</v>
      </c>
    </row>
    <row r="63" spans="1:15" ht="13.2">
      <c r="B63" s="1" t="s">
        <v>57</v>
      </c>
      <c r="C63" s="4">
        <v>8.9704999999999995</v>
      </c>
      <c r="D63" s="4">
        <v>15.2369</v>
      </c>
      <c r="E63" s="5">
        <f t="shared" si="25"/>
        <v>12.1037</v>
      </c>
      <c r="F63" s="5">
        <v>0.41724</v>
      </c>
      <c r="G63" s="5">
        <v>0.72643000000000002</v>
      </c>
      <c r="H63" s="5">
        <v>0.76758000000000004</v>
      </c>
      <c r="L63" s="5">
        <v>0.76278999999999997</v>
      </c>
      <c r="M63" s="5">
        <v>0.77617000000000003</v>
      </c>
      <c r="O63" s="5">
        <f t="shared" si="24"/>
        <v>0.69004199999999993</v>
      </c>
    </row>
    <row r="64" spans="1:15" ht="13.2">
      <c r="B64" s="6" t="s">
        <v>18</v>
      </c>
      <c r="C64" s="1">
        <v>10.6686</v>
      </c>
      <c r="D64" s="1">
        <v>17.586600000000001</v>
      </c>
      <c r="E64" s="1">
        <f t="shared" si="25"/>
        <v>14.127600000000001</v>
      </c>
      <c r="F64" s="1">
        <v>0.39250000000000002</v>
      </c>
      <c r="G64" s="1">
        <v>0.70079999999999998</v>
      </c>
      <c r="H64" s="1">
        <v>0.75290000000000001</v>
      </c>
      <c r="L64" s="1">
        <v>0.74650000000000005</v>
      </c>
      <c r="M64" s="1">
        <v>0.76170000000000004</v>
      </c>
      <c r="O64" s="1">
        <f t="shared" si="24"/>
        <v>0.67088000000000003</v>
      </c>
    </row>
    <row r="65" spans="1:28" ht="13.2">
      <c r="C65" s="1" t="s">
        <v>2</v>
      </c>
      <c r="D65" s="1" t="s">
        <v>3</v>
      </c>
      <c r="F65" s="1" t="s">
        <v>4</v>
      </c>
      <c r="G65" s="1" t="s">
        <v>5</v>
      </c>
      <c r="H65" s="1" t="s">
        <v>6</v>
      </c>
      <c r="I65" s="2"/>
      <c r="J65" s="2"/>
      <c r="K65" s="2"/>
      <c r="L65" s="1" t="s">
        <v>10</v>
      </c>
      <c r="M65" s="1" t="s">
        <v>11</v>
      </c>
      <c r="N65" s="2"/>
      <c r="O65" s="1" t="s">
        <v>13</v>
      </c>
    </row>
    <row r="66" spans="1:28" ht="13.2">
      <c r="A66" s="14"/>
      <c r="B66" s="14" t="s">
        <v>16</v>
      </c>
      <c r="C66" s="20">
        <v>10.7928</v>
      </c>
      <c r="D66" s="20">
        <v>17.638300000000001</v>
      </c>
      <c r="E66" s="14">
        <f t="shared" ref="E66:E68" si="26">AVERAGE(C66:D66)</f>
        <v>14.21555</v>
      </c>
      <c r="F66" s="14">
        <v>0.39761000000000002</v>
      </c>
      <c r="G66" s="14">
        <v>0.70118000000000003</v>
      </c>
      <c r="H66" s="14">
        <v>0.74709000000000003</v>
      </c>
      <c r="I66" s="14"/>
      <c r="J66" s="14"/>
      <c r="K66" s="14"/>
      <c r="L66" s="14">
        <v>0.74592000000000003</v>
      </c>
      <c r="M66" s="14">
        <v>0.66256000000000004</v>
      </c>
      <c r="N66" s="14"/>
      <c r="O66" s="14">
        <f t="shared" ref="O66:O68" si="27">AVERAGE(F66,G66,H66,L66,M66)</f>
        <v>0.65087200000000001</v>
      </c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spans="1:28" ht="13.2">
      <c r="A67" s="14" t="s">
        <v>24</v>
      </c>
      <c r="B67" s="14" t="s">
        <v>57</v>
      </c>
      <c r="C67" s="42">
        <v>8.9704999999999995</v>
      </c>
      <c r="D67" s="42">
        <v>15.2369</v>
      </c>
      <c r="E67" s="18">
        <f t="shared" si="26"/>
        <v>12.1037</v>
      </c>
      <c r="F67" s="18">
        <v>0.41724</v>
      </c>
      <c r="G67" s="18">
        <v>0.72643000000000002</v>
      </c>
      <c r="H67" s="18">
        <v>0.76758000000000004</v>
      </c>
      <c r="I67" s="14"/>
      <c r="J67" s="14"/>
      <c r="K67" s="14"/>
      <c r="L67" s="18">
        <v>0.76278999999999997</v>
      </c>
      <c r="M67" s="18">
        <v>0.66617000000000004</v>
      </c>
      <c r="N67" s="14"/>
      <c r="O67" s="18">
        <f t="shared" si="27"/>
        <v>0.66804200000000002</v>
      </c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spans="1:28" ht="13.2">
      <c r="A68" s="14"/>
      <c r="B68" s="17" t="s">
        <v>18</v>
      </c>
      <c r="C68" s="14">
        <v>10.6686</v>
      </c>
      <c r="D68" s="14">
        <v>17.586600000000001</v>
      </c>
      <c r="E68" s="14">
        <f t="shared" si="26"/>
        <v>14.127600000000001</v>
      </c>
      <c r="F68" s="14">
        <v>0.39250000000000002</v>
      </c>
      <c r="G68" s="14">
        <v>0.70079999999999998</v>
      </c>
      <c r="H68" s="14">
        <v>0.75290000000000001</v>
      </c>
      <c r="I68" s="14"/>
      <c r="J68" s="14"/>
      <c r="K68" s="14"/>
      <c r="L68" s="14">
        <v>0.74650000000000005</v>
      </c>
      <c r="M68" s="14">
        <v>0.65169999999999995</v>
      </c>
      <c r="N68" s="14"/>
      <c r="O68" s="14">
        <f t="shared" si="27"/>
        <v>0.64888000000000001</v>
      </c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spans="1:28" ht="13.2">
      <c r="B69" s="1"/>
      <c r="C69" s="11"/>
      <c r="D69" s="11"/>
      <c r="E69" s="10"/>
      <c r="F69" s="11"/>
      <c r="G69" s="13"/>
      <c r="H69" s="11"/>
      <c r="I69" s="32"/>
      <c r="J69" s="32"/>
      <c r="K69" s="32"/>
      <c r="L69" s="11"/>
      <c r="M69" s="11"/>
      <c r="N69" s="32"/>
      <c r="O69" s="11"/>
    </row>
    <row r="70" spans="1:28" ht="13.2">
      <c r="B70" s="1" t="s">
        <v>19</v>
      </c>
      <c r="C70" s="11">
        <v>8.5922000000000001</v>
      </c>
      <c r="D70" s="11">
        <v>15.0479</v>
      </c>
      <c r="E70" s="10"/>
      <c r="F70" s="11">
        <v>0.43859999999999999</v>
      </c>
      <c r="G70" s="13">
        <v>0.73109999999999997</v>
      </c>
      <c r="H70" s="11">
        <v>0.78410000000000002</v>
      </c>
      <c r="I70" s="32">
        <v>0.54559999999999997</v>
      </c>
      <c r="J70" s="32">
        <v>0.63829999999999998</v>
      </c>
      <c r="K70" s="32">
        <v>0.314</v>
      </c>
      <c r="L70" s="11">
        <v>0.76880000000000004</v>
      </c>
      <c r="M70" s="11">
        <v>0.67800000000000005</v>
      </c>
      <c r="N70" s="32">
        <v>0.66690000000000005</v>
      </c>
      <c r="O70" s="11">
        <f t="shared" ref="O70:O72" si="28">AVERAGE(F70,G70,H70,L70,M70)</f>
        <v>0.68011999999999995</v>
      </c>
    </row>
    <row r="71" spans="1:28" ht="13.2">
      <c r="B71" s="6" t="s">
        <v>36</v>
      </c>
      <c r="C71" s="13">
        <v>8.2312999999999992</v>
      </c>
      <c r="D71" s="13">
        <v>14.2433</v>
      </c>
      <c r="E71" s="10"/>
      <c r="F71" s="13">
        <v>0.441</v>
      </c>
      <c r="G71" s="11">
        <v>0.72899999999999998</v>
      </c>
      <c r="H71" s="13">
        <v>0.81200000000000006</v>
      </c>
      <c r="I71" s="32">
        <v>0.55149999999999999</v>
      </c>
      <c r="J71" s="11">
        <v>0.60589999999999999</v>
      </c>
      <c r="K71" s="32">
        <v>0.314</v>
      </c>
      <c r="L71" s="13">
        <v>0.77900000000000003</v>
      </c>
      <c r="M71" s="13">
        <v>0.69</v>
      </c>
      <c r="N71" s="32">
        <v>0.66930000000000001</v>
      </c>
      <c r="O71" s="13">
        <f t="shared" si="28"/>
        <v>0.69020000000000004</v>
      </c>
    </row>
    <row r="72" spans="1:28" ht="13.2">
      <c r="B72" s="43" t="s">
        <v>18</v>
      </c>
      <c r="C72" s="11">
        <v>8.6092999999999993</v>
      </c>
      <c r="D72" s="11">
        <v>15.0115</v>
      </c>
      <c r="E72" s="10"/>
      <c r="F72" s="11">
        <v>0.43430000000000002</v>
      </c>
      <c r="G72" s="11">
        <v>0.72770000000000001</v>
      </c>
      <c r="H72" s="11">
        <v>0.76329999999999998</v>
      </c>
      <c r="I72" s="10"/>
      <c r="J72" s="40"/>
      <c r="K72" s="40"/>
      <c r="L72" s="11">
        <v>0.76990000000000003</v>
      </c>
      <c r="M72" s="11">
        <v>0.61370000000000002</v>
      </c>
      <c r="N72" s="40"/>
      <c r="O72" s="11">
        <f t="shared" si="28"/>
        <v>0.66178000000000003</v>
      </c>
    </row>
    <row r="73" spans="1:28" ht="13.2"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1"/>
    </row>
    <row r="74" spans="1:28" ht="13.2">
      <c r="B74" s="7" t="s">
        <v>22</v>
      </c>
      <c r="C74" s="10">
        <v>12.138</v>
      </c>
      <c r="D74" s="10">
        <v>18.010000000000002</v>
      </c>
      <c r="E74" s="10"/>
      <c r="F74" s="10">
        <v>0.32300000000000001</v>
      </c>
      <c r="G74" s="12">
        <v>0.624</v>
      </c>
      <c r="H74" s="10">
        <v>0.68200000000000005</v>
      </c>
      <c r="I74" s="10"/>
      <c r="J74" s="10"/>
      <c r="K74" s="10"/>
      <c r="L74" s="10">
        <v>0.69899999999999995</v>
      </c>
      <c r="M74" s="10">
        <v>0.62</v>
      </c>
      <c r="N74" s="10"/>
      <c r="O74" s="11">
        <f t="shared" ref="O74:O76" si="29">AVERAGE(F74,G74,H74,L74,M74)</f>
        <v>0.58960000000000001</v>
      </c>
    </row>
    <row r="75" spans="1:28" ht="13.2">
      <c r="B75" s="6" t="s">
        <v>23</v>
      </c>
      <c r="C75" s="12">
        <v>12.09</v>
      </c>
      <c r="D75" s="12">
        <v>17.994</v>
      </c>
      <c r="E75" s="10"/>
      <c r="F75" s="12">
        <v>0.32800000000000001</v>
      </c>
      <c r="G75" s="10">
        <v>0.61899999999999999</v>
      </c>
      <c r="H75" s="12">
        <v>0.68400000000000005</v>
      </c>
      <c r="I75" s="10"/>
      <c r="J75" s="10"/>
      <c r="K75" s="10"/>
      <c r="L75" s="12">
        <v>0.70599999999999996</v>
      </c>
      <c r="M75" s="12">
        <v>0.63500000000000001</v>
      </c>
      <c r="N75" s="10"/>
      <c r="O75" s="13">
        <f t="shared" si="29"/>
        <v>0.59440000000000004</v>
      </c>
    </row>
    <row r="76" spans="1:28" ht="13.2">
      <c r="B76" s="6" t="s">
        <v>18</v>
      </c>
      <c r="C76" s="10">
        <v>12.147</v>
      </c>
      <c r="D76" s="10">
        <v>18.016999999999999</v>
      </c>
      <c r="E76" s="10"/>
      <c r="F76" s="10">
        <v>0.31819999999999998</v>
      </c>
      <c r="G76" s="12">
        <v>0.624</v>
      </c>
      <c r="H76" s="10">
        <v>0.68200000000000005</v>
      </c>
      <c r="I76" s="10"/>
      <c r="J76" s="10"/>
      <c r="K76" s="10"/>
      <c r="L76" s="10">
        <v>0.69799999999999995</v>
      </c>
      <c r="M76" s="10">
        <v>0.628</v>
      </c>
      <c r="N76" s="10"/>
      <c r="O76" s="11">
        <f t="shared" si="29"/>
        <v>0.59004000000000001</v>
      </c>
    </row>
    <row r="77" spans="1:28" ht="13.2">
      <c r="C77" s="1" t="s">
        <v>2</v>
      </c>
      <c r="D77" s="1" t="s">
        <v>3</v>
      </c>
      <c r="F77" s="1" t="s">
        <v>4</v>
      </c>
      <c r="G77" s="1" t="s">
        <v>5</v>
      </c>
      <c r="H77" s="1" t="s">
        <v>6</v>
      </c>
      <c r="I77" s="2"/>
      <c r="J77" s="2"/>
      <c r="K77" s="2"/>
      <c r="L77" s="1" t="s">
        <v>10</v>
      </c>
      <c r="M77" s="1" t="s">
        <v>11</v>
      </c>
      <c r="N77" s="2"/>
      <c r="O77" s="1" t="s">
        <v>13</v>
      </c>
    </row>
    <row r="78" spans="1:28" ht="13.2">
      <c r="A78" s="14"/>
      <c r="B78" s="14" t="s">
        <v>22</v>
      </c>
      <c r="C78" s="15">
        <v>8.1379999999999999</v>
      </c>
      <c r="D78" s="15">
        <v>15.01</v>
      </c>
      <c r="E78" s="15"/>
      <c r="F78" s="15">
        <v>0.42299999999999999</v>
      </c>
      <c r="G78" s="19">
        <v>0.72399999999999998</v>
      </c>
      <c r="H78" s="15">
        <v>0.78200000000000003</v>
      </c>
      <c r="I78" s="15"/>
      <c r="J78" s="15"/>
      <c r="K78" s="15"/>
      <c r="L78" s="15">
        <v>0.76900000000000002</v>
      </c>
      <c r="M78" s="15">
        <v>0.67</v>
      </c>
      <c r="N78" s="15"/>
      <c r="O78" s="16">
        <f t="shared" ref="O78:O80" si="30">AVERAGE(F78,G78,H78,L78,M78)</f>
        <v>0.67359999999999998</v>
      </c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3.2">
      <c r="A79" s="14" t="s">
        <v>24</v>
      </c>
      <c r="B79" s="17" t="s">
        <v>23</v>
      </c>
      <c r="C79" s="19">
        <v>8.09</v>
      </c>
      <c r="D79" s="19">
        <v>14.994</v>
      </c>
      <c r="E79" s="15"/>
      <c r="F79" s="19">
        <v>0.42799999999999999</v>
      </c>
      <c r="G79" s="15">
        <v>0.71899999999999997</v>
      </c>
      <c r="H79" s="19">
        <v>0.78400000000000003</v>
      </c>
      <c r="I79" s="15"/>
      <c r="J79" s="15"/>
      <c r="K79" s="15"/>
      <c r="L79" s="19">
        <v>0.77600000000000002</v>
      </c>
      <c r="M79" s="19">
        <v>0.68500000000000005</v>
      </c>
      <c r="N79" s="15"/>
      <c r="O79" s="44">
        <f t="shared" si="30"/>
        <v>0.6784</v>
      </c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spans="1:28" ht="13.2">
      <c r="A80" s="14"/>
      <c r="B80" s="17" t="s">
        <v>18</v>
      </c>
      <c r="C80" s="15">
        <v>8.1470000000000002</v>
      </c>
      <c r="D80" s="15">
        <v>15.016999999999999</v>
      </c>
      <c r="E80" s="15"/>
      <c r="F80" s="15">
        <v>0.41820000000000002</v>
      </c>
      <c r="G80" s="19">
        <v>0.72399999999999998</v>
      </c>
      <c r="H80" s="15">
        <v>0.78200000000000003</v>
      </c>
      <c r="I80" s="15"/>
      <c r="J80" s="15"/>
      <c r="K80" s="15"/>
      <c r="L80" s="15">
        <v>0.76800000000000002</v>
      </c>
      <c r="M80" s="15">
        <v>0.67800000000000005</v>
      </c>
      <c r="N80" s="15"/>
      <c r="O80" s="16">
        <f t="shared" si="30"/>
        <v>0.67403999999999997</v>
      </c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spans="1:18" ht="13.2"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1"/>
    </row>
    <row r="82" spans="1:18" ht="13.2"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1"/>
    </row>
    <row r="83" spans="1:18" ht="13.2">
      <c r="B83" s="1" t="s">
        <v>25</v>
      </c>
      <c r="C83" s="11">
        <v>7.2569999999999997</v>
      </c>
      <c r="D83" s="11">
        <v>12.414999999999999</v>
      </c>
      <c r="E83" s="10"/>
      <c r="F83" s="11">
        <v>0.47499999999999998</v>
      </c>
      <c r="G83" s="11">
        <v>0.79500000000000004</v>
      </c>
      <c r="H83" s="11">
        <v>0.82299999999999995</v>
      </c>
      <c r="I83" s="32">
        <v>0.55159999999999998</v>
      </c>
      <c r="J83" s="32">
        <v>0.66269999999999996</v>
      </c>
      <c r="K83" s="32">
        <v>0.318</v>
      </c>
      <c r="L83" s="11">
        <v>0.77600000000000002</v>
      </c>
      <c r="M83" s="11">
        <v>0.75800000000000001</v>
      </c>
      <c r="N83" s="32">
        <v>0.7167</v>
      </c>
      <c r="O83" s="11">
        <f t="shared" ref="O83:O85" si="31">AVERAGE(F83,G83,H83,L83,M83)</f>
        <v>0.72539999999999993</v>
      </c>
    </row>
    <row r="84" spans="1:18" ht="13.2">
      <c r="B84" s="6" t="s">
        <v>37</v>
      </c>
      <c r="C84" s="13">
        <v>7.2210000000000001</v>
      </c>
      <c r="D84" s="13">
        <v>12.401</v>
      </c>
      <c r="E84" s="10"/>
      <c r="F84" s="13">
        <v>0.502</v>
      </c>
      <c r="G84" s="13">
        <v>0.80300000000000005</v>
      </c>
      <c r="H84" s="11">
        <v>0.82699999999999996</v>
      </c>
      <c r="I84" s="32">
        <v>0.55310000000000004</v>
      </c>
      <c r="J84" s="11">
        <v>0.65029999999999999</v>
      </c>
      <c r="K84" s="32">
        <v>0.31</v>
      </c>
      <c r="L84" s="13">
        <v>0.77700000000000002</v>
      </c>
      <c r="M84" s="13">
        <v>0.77300000000000002</v>
      </c>
      <c r="N84" s="32">
        <v>0.69140000000000001</v>
      </c>
      <c r="O84" s="13">
        <f t="shared" si="31"/>
        <v>0.73640000000000005</v>
      </c>
    </row>
    <row r="85" spans="1:18" ht="13.2">
      <c r="B85" s="43" t="s">
        <v>18</v>
      </c>
      <c r="C85" s="11">
        <v>7.2472000000000003</v>
      </c>
      <c r="D85" s="13">
        <v>12.401</v>
      </c>
      <c r="E85" s="10"/>
      <c r="F85" s="11">
        <v>0.45800000000000002</v>
      </c>
      <c r="G85" s="11">
        <v>0.77</v>
      </c>
      <c r="H85" s="13">
        <v>0.83399999999999996</v>
      </c>
      <c r="I85" s="40"/>
      <c r="J85" s="40"/>
      <c r="K85" s="40"/>
      <c r="L85" s="11">
        <v>0.77600000000000002</v>
      </c>
      <c r="M85" s="11">
        <v>0.76500000000000001</v>
      </c>
      <c r="N85" s="40"/>
      <c r="O85" s="11">
        <f t="shared" si="31"/>
        <v>0.72060000000000002</v>
      </c>
    </row>
    <row r="86" spans="1:18" ht="13.2">
      <c r="I86" s="2"/>
      <c r="J86" s="2"/>
      <c r="K86" s="2"/>
      <c r="N86" s="2"/>
    </row>
    <row r="87" spans="1:18" ht="13.2">
      <c r="I87" s="2"/>
      <c r="J87" s="2"/>
      <c r="K87" s="2"/>
      <c r="N87" s="2"/>
    </row>
    <row r="88" spans="1:18" ht="13.2">
      <c r="I88" s="2"/>
      <c r="J88" s="2"/>
      <c r="K88" s="2"/>
      <c r="N88" s="2"/>
    </row>
    <row r="89" spans="1:18" ht="13.2">
      <c r="I89" s="2"/>
      <c r="J89" s="2"/>
      <c r="K89" s="2"/>
      <c r="N89" s="2"/>
    </row>
    <row r="90" spans="1:18" ht="13.2">
      <c r="I90" s="2"/>
      <c r="J90" s="2"/>
      <c r="K90" s="2"/>
      <c r="N90" s="2"/>
    </row>
    <row r="91" spans="1:18" ht="13.2">
      <c r="I91" s="2"/>
      <c r="J91" s="2"/>
      <c r="K91" s="2"/>
      <c r="N91" s="2"/>
    </row>
    <row r="92" spans="1:18" ht="13.2">
      <c r="A92" s="1" t="s">
        <v>0</v>
      </c>
      <c r="B92" s="1" t="s">
        <v>1</v>
      </c>
      <c r="I92" s="2"/>
      <c r="J92" s="2"/>
      <c r="K92" s="2"/>
      <c r="N92" s="2"/>
    </row>
    <row r="93" spans="1:18" ht="13.2">
      <c r="C93" s="1" t="s">
        <v>2</v>
      </c>
      <c r="D93" s="1" t="s">
        <v>3</v>
      </c>
      <c r="F93" s="1" t="s">
        <v>4</v>
      </c>
      <c r="G93" s="1" t="s">
        <v>5</v>
      </c>
      <c r="H93" s="1" t="s">
        <v>6</v>
      </c>
      <c r="I93" s="2" t="s">
        <v>7</v>
      </c>
      <c r="J93" s="2" t="s">
        <v>8</v>
      </c>
      <c r="K93" s="2" t="s">
        <v>9</v>
      </c>
      <c r="L93" s="1" t="s">
        <v>10</v>
      </c>
      <c r="M93" s="1" t="s">
        <v>11</v>
      </c>
      <c r="N93" s="2" t="s">
        <v>12</v>
      </c>
      <c r="O93" s="1" t="s">
        <v>13</v>
      </c>
    </row>
    <row r="94" spans="1:18" ht="13.2">
      <c r="B94" s="1" t="s">
        <v>14</v>
      </c>
      <c r="C94" s="1">
        <v>5.4424999999999999</v>
      </c>
      <c r="D94" s="1">
        <v>8.3462999999999994</v>
      </c>
      <c r="F94" s="1">
        <v>0.51880000000000004</v>
      </c>
      <c r="G94" s="1">
        <v>0.80769999999999997</v>
      </c>
      <c r="H94" s="1">
        <v>0.8226</v>
      </c>
      <c r="I94" s="2">
        <v>0.60640000000000005</v>
      </c>
      <c r="J94" s="2">
        <v>0.76049999999999995</v>
      </c>
      <c r="K94" s="2">
        <v>0.33800000000000002</v>
      </c>
      <c r="L94" s="1">
        <v>0.78939999999999999</v>
      </c>
      <c r="M94" s="1">
        <v>0.70040000000000002</v>
      </c>
      <c r="N94" s="2">
        <v>0.73719999999999997</v>
      </c>
      <c r="O94" s="1">
        <v>0.72777999999999998</v>
      </c>
    </row>
    <row r="95" spans="1:18" ht="13.2">
      <c r="A95" s="7" t="s">
        <v>38</v>
      </c>
      <c r="B95" s="1" t="s">
        <v>55</v>
      </c>
      <c r="C95" s="3">
        <v>10.9466</v>
      </c>
      <c r="D95" s="1">
        <v>18.0442</v>
      </c>
      <c r="E95" s="1">
        <f t="shared" ref="E95:E96" si="32">AVERAGE(C95:D95)</f>
        <v>14.4954</v>
      </c>
      <c r="F95" s="1">
        <v>0.38569999999999999</v>
      </c>
      <c r="G95" s="1">
        <v>0.64900000000000002</v>
      </c>
      <c r="H95" s="1">
        <v>0.71740000000000004</v>
      </c>
      <c r="I95" s="1">
        <v>0.51480000000000004</v>
      </c>
      <c r="J95" s="5">
        <v>0.66500000000000004</v>
      </c>
      <c r="K95" s="1">
        <v>0.29799999999999999</v>
      </c>
      <c r="L95" s="1">
        <v>0.74319999999999997</v>
      </c>
      <c r="M95" s="5">
        <v>0.58840000000000003</v>
      </c>
      <c r="N95" s="2">
        <v>0.67959999999999998</v>
      </c>
      <c r="O95" s="1">
        <f t="shared" ref="O95:O97" si="33">AVERAGE(F95,G95,H95,L95,M95)</f>
        <v>0.61673999999999995</v>
      </c>
    </row>
    <row r="96" spans="1:18" ht="13.2">
      <c r="B96" s="1" t="s">
        <v>58</v>
      </c>
      <c r="C96" s="4">
        <v>9.1052</v>
      </c>
      <c r="D96" s="4">
        <v>15.250999999999999</v>
      </c>
      <c r="E96" s="5">
        <f t="shared" si="32"/>
        <v>12.178100000000001</v>
      </c>
      <c r="F96" s="5">
        <v>0.40560000000000002</v>
      </c>
      <c r="G96" s="5">
        <v>0.67020000000000002</v>
      </c>
      <c r="H96" s="1">
        <v>0.70650000000000002</v>
      </c>
      <c r="I96" s="5"/>
      <c r="J96" s="1"/>
      <c r="K96" s="5"/>
      <c r="L96" s="5">
        <v>0.75080000000000002</v>
      </c>
      <c r="M96" s="5">
        <v>0.61099999999999999</v>
      </c>
      <c r="N96" s="5"/>
      <c r="O96" s="5">
        <f t="shared" si="33"/>
        <v>0.62881999999999993</v>
      </c>
      <c r="Q96" s="1"/>
      <c r="R96" s="1"/>
    </row>
    <row r="97" spans="1:15" ht="13.2">
      <c r="B97" s="6" t="s">
        <v>18</v>
      </c>
      <c r="C97" s="1">
        <v>10.501799999999999</v>
      </c>
      <c r="D97" s="1">
        <v>17.7424</v>
      </c>
      <c r="F97" s="1">
        <v>0.34898000000000001</v>
      </c>
      <c r="G97" s="1">
        <v>0.64898999999999996</v>
      </c>
      <c r="H97" s="1">
        <v>0.68837999999999999</v>
      </c>
      <c r="L97" s="1">
        <v>0.71382000000000001</v>
      </c>
      <c r="M97" s="1">
        <v>0.55957000000000001</v>
      </c>
      <c r="O97" s="1">
        <f t="shared" si="33"/>
        <v>0.59194800000000003</v>
      </c>
    </row>
    <row r="98" spans="1:15" ht="13.2">
      <c r="A98" s="7"/>
      <c r="B98" s="7"/>
      <c r="C98" s="1"/>
      <c r="D98" s="1"/>
      <c r="F98" s="1"/>
      <c r="G98" s="1"/>
      <c r="H98" s="1"/>
      <c r="I98" s="2"/>
      <c r="J98" s="2"/>
      <c r="K98" s="2"/>
      <c r="L98" s="1"/>
      <c r="M98" s="1"/>
      <c r="N98" s="2"/>
      <c r="O98" s="1"/>
    </row>
    <row r="99" spans="1:15" ht="13.2">
      <c r="B99" s="7" t="s">
        <v>19</v>
      </c>
      <c r="C99" s="1">
        <v>8.1356999999999999</v>
      </c>
      <c r="D99" s="1">
        <v>13.292899999999999</v>
      </c>
      <c r="F99" s="1">
        <v>0.39400000000000002</v>
      </c>
      <c r="G99" s="1">
        <v>0.69699999999999995</v>
      </c>
      <c r="H99" s="1">
        <v>0.74399999999999999</v>
      </c>
      <c r="I99" s="2">
        <v>0.5373</v>
      </c>
      <c r="J99" s="2">
        <v>0.67320000000000002</v>
      </c>
      <c r="K99" s="2">
        <v>0.26800000000000002</v>
      </c>
      <c r="L99" s="1">
        <v>0.75900000000000001</v>
      </c>
      <c r="M99" s="1">
        <v>0.61299999999999999</v>
      </c>
      <c r="N99" s="2">
        <v>0.70720000000000005</v>
      </c>
      <c r="O99" s="1">
        <f t="shared" ref="O99:O101" si="34">AVERAGE(F99,G99,H99,L99,M99)</f>
        <v>0.64139999999999997</v>
      </c>
    </row>
    <row r="100" spans="1:15" ht="13.2">
      <c r="A100" s="7"/>
      <c r="B100" s="21" t="s">
        <v>37</v>
      </c>
      <c r="C100" s="5">
        <v>7.9725000000000001</v>
      </c>
      <c r="D100" s="5">
        <v>12.977</v>
      </c>
      <c r="F100" s="5">
        <v>0.40300000000000002</v>
      </c>
      <c r="G100" s="5">
        <v>0.70699999999999996</v>
      </c>
      <c r="H100" s="5">
        <v>0.75</v>
      </c>
      <c r="I100" s="2">
        <v>0.53920000000000001</v>
      </c>
      <c r="J100" s="2">
        <v>0.66539999999999999</v>
      </c>
      <c r="K100" s="2">
        <v>0.27800000000000002</v>
      </c>
      <c r="L100" s="5">
        <v>0.76600000000000001</v>
      </c>
      <c r="M100" s="1">
        <v>0.61399999999999999</v>
      </c>
      <c r="N100" s="2">
        <v>0.70720000000000005</v>
      </c>
      <c r="O100" s="5">
        <f t="shared" si="34"/>
        <v>0.64799999999999991</v>
      </c>
    </row>
    <row r="101" spans="1:15" ht="13.2">
      <c r="B101" s="43" t="s">
        <v>18</v>
      </c>
      <c r="C101" s="11">
        <v>8.1402999999999999</v>
      </c>
      <c r="D101" s="11">
        <v>13.309699999999999</v>
      </c>
      <c r="E101" s="10"/>
      <c r="F101" s="11">
        <v>0.4</v>
      </c>
      <c r="G101" s="11">
        <v>0.7</v>
      </c>
      <c r="H101" s="11">
        <v>0.74199999999999999</v>
      </c>
      <c r="I101" s="40"/>
      <c r="J101" s="40"/>
      <c r="K101" s="40"/>
      <c r="L101" s="11">
        <v>0.75900000000000001</v>
      </c>
      <c r="M101" s="13">
        <v>0.63539999999999996</v>
      </c>
      <c r="N101" s="40"/>
      <c r="O101" s="1">
        <f t="shared" si="34"/>
        <v>0.64727999999999997</v>
      </c>
    </row>
    <row r="102" spans="1:15" ht="13.2">
      <c r="I102" s="2"/>
      <c r="J102" s="2"/>
      <c r="K102" s="2"/>
      <c r="N102" s="2"/>
    </row>
    <row r="103" spans="1:15" ht="13.2">
      <c r="B103" s="7" t="s">
        <v>22</v>
      </c>
      <c r="C103" s="1">
        <v>9.4039999999999999</v>
      </c>
      <c r="D103" s="1">
        <v>12.648999999999999</v>
      </c>
      <c r="F103" s="1">
        <v>0.373</v>
      </c>
      <c r="G103" s="1">
        <v>0.7</v>
      </c>
      <c r="H103" s="1">
        <v>0.71699999999999997</v>
      </c>
      <c r="I103" s="2"/>
      <c r="J103" s="2"/>
      <c r="K103" s="2"/>
      <c r="L103" s="1">
        <v>0.75600000000000001</v>
      </c>
      <c r="M103" s="1">
        <v>0.62</v>
      </c>
      <c r="N103" s="2"/>
      <c r="O103" s="1">
        <f t="shared" ref="O103:O104" si="35">AVERAGE(F103,G103,H103,L103,M103)</f>
        <v>0.6332000000000001</v>
      </c>
    </row>
    <row r="104" spans="1:15" ht="13.2">
      <c r="B104" s="6" t="s">
        <v>23</v>
      </c>
      <c r="C104" s="5">
        <v>9.4030000000000005</v>
      </c>
      <c r="D104" s="5">
        <v>12.641999999999999</v>
      </c>
      <c r="F104" s="5">
        <v>0.374</v>
      </c>
      <c r="G104" s="5">
        <v>0.70199999999999996</v>
      </c>
      <c r="H104" s="5">
        <v>0.71799999999999997</v>
      </c>
      <c r="I104" s="2"/>
      <c r="J104" s="2"/>
      <c r="K104" s="2"/>
      <c r="L104" s="5">
        <v>0.75900000000000001</v>
      </c>
      <c r="M104" s="5">
        <v>0.625</v>
      </c>
      <c r="N104" s="2"/>
      <c r="O104" s="5">
        <f t="shared" si="35"/>
        <v>0.63559999999999994</v>
      </c>
    </row>
    <row r="105" spans="1:15" ht="13.2">
      <c r="B105" s="6" t="s">
        <v>18</v>
      </c>
      <c r="C105" s="1">
        <v>9.407</v>
      </c>
      <c r="D105" s="1">
        <v>12.647</v>
      </c>
      <c r="F105" s="1">
        <v>0.373</v>
      </c>
      <c r="G105" s="1">
        <v>0.69899999999999995</v>
      </c>
      <c r="H105" s="1">
        <v>0.71599999999999997</v>
      </c>
      <c r="I105" s="2"/>
      <c r="J105" s="2"/>
      <c r="K105" s="2"/>
      <c r="L105" s="1">
        <v>0.755</v>
      </c>
      <c r="M105" s="1">
        <v>0.62</v>
      </c>
      <c r="N105" s="2"/>
    </row>
    <row r="106" spans="1:15" ht="13.2">
      <c r="I106" s="2"/>
      <c r="J106" s="2"/>
      <c r="K106" s="2"/>
      <c r="N106" s="2"/>
    </row>
    <row r="107" spans="1:15" ht="13.2">
      <c r="B107" s="45" t="s">
        <v>25</v>
      </c>
      <c r="C107" s="11">
        <v>7.4509999999999996</v>
      </c>
      <c r="D107" s="11">
        <v>11.97988</v>
      </c>
      <c r="E107" s="10"/>
      <c r="F107" s="11">
        <v>0.41699999999999998</v>
      </c>
      <c r="G107" s="11">
        <v>0.749</v>
      </c>
      <c r="H107" s="11">
        <v>0.79100000000000004</v>
      </c>
      <c r="I107" s="40"/>
      <c r="J107" s="40"/>
      <c r="K107" s="40"/>
      <c r="L107" s="11">
        <v>0.76800000000000002</v>
      </c>
      <c r="M107" s="11">
        <v>0.625</v>
      </c>
      <c r="N107" s="40"/>
      <c r="O107" s="11">
        <v>0.67</v>
      </c>
    </row>
    <row r="108" spans="1:15" ht="13.2">
      <c r="B108" s="21" t="s">
        <v>59</v>
      </c>
      <c r="C108" s="13">
        <v>7.4160000000000004</v>
      </c>
      <c r="D108" s="12">
        <v>11.932639999999999</v>
      </c>
      <c r="E108" s="10"/>
      <c r="F108" s="11">
        <v>0.41699999999999998</v>
      </c>
      <c r="G108" s="13">
        <v>0.73699999999999999</v>
      </c>
      <c r="H108" s="13">
        <v>0.77700000000000002</v>
      </c>
      <c r="I108" s="40"/>
      <c r="J108" s="40"/>
      <c r="K108" s="40"/>
      <c r="L108" s="13">
        <v>0.76700000000000002</v>
      </c>
      <c r="M108" s="13">
        <v>0.68200000000000005</v>
      </c>
      <c r="N108" s="40"/>
      <c r="O108" s="13">
        <v>0.67600000000000005</v>
      </c>
    </row>
    <row r="109" spans="1:15" ht="13.2">
      <c r="B109" s="43" t="s">
        <v>18</v>
      </c>
      <c r="C109" s="10">
        <v>7.4241599999999996</v>
      </c>
      <c r="D109" s="10">
        <v>12.05195</v>
      </c>
      <c r="E109" s="10"/>
      <c r="F109" s="12">
        <v>0.42662</v>
      </c>
      <c r="G109" s="10">
        <v>0.73021999999999998</v>
      </c>
      <c r="H109" s="10">
        <v>0.76849999999999996</v>
      </c>
      <c r="I109" s="40"/>
      <c r="J109" s="40"/>
      <c r="K109" s="40"/>
      <c r="L109" s="10">
        <v>0.75517000000000001</v>
      </c>
      <c r="M109" s="10">
        <v>0.58484000000000003</v>
      </c>
      <c r="N109" s="40"/>
      <c r="O109" s="10">
        <f>AVERAGE(F109,G109,H109,L109,M109)</f>
        <v>0.65306999999999993</v>
      </c>
    </row>
    <row r="113" spans="1:28" ht="13.2">
      <c r="A113" s="46" t="s">
        <v>60</v>
      </c>
      <c r="B113" s="46" t="s">
        <v>61</v>
      </c>
      <c r="C113" s="46">
        <v>5.5221999999999998</v>
      </c>
      <c r="D113" s="46">
        <v>8.7129999999999992</v>
      </c>
      <c r="E113" s="46"/>
      <c r="F113" s="47">
        <v>0.52129999999999999</v>
      </c>
      <c r="G113" s="47">
        <v>0.82150000000000001</v>
      </c>
      <c r="H113" s="47">
        <v>0.83079999999999998</v>
      </c>
      <c r="I113" s="47">
        <v>0.60709999999999997</v>
      </c>
      <c r="J113" s="47">
        <v>0.74629999999999996</v>
      </c>
      <c r="K113" s="47">
        <v>0.33800000000000002</v>
      </c>
      <c r="L113" s="47">
        <v>0.79100000000000004</v>
      </c>
      <c r="M113" s="47">
        <v>0.71479999999999999</v>
      </c>
      <c r="N113" s="47">
        <v>0.74109999999999998</v>
      </c>
      <c r="O113" s="46">
        <f t="shared" ref="O113:O121" si="36">AVERAGE(F113,G113,H113,L113,M113)</f>
        <v>0.73587999999999998</v>
      </c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</row>
    <row r="114" spans="1:28" ht="13.2">
      <c r="A114" s="46"/>
      <c r="B114" s="46" t="s">
        <v>19</v>
      </c>
      <c r="C114" s="46">
        <v>7.4816000000000003</v>
      </c>
      <c r="D114" s="46">
        <v>12.3635</v>
      </c>
      <c r="E114" s="46"/>
      <c r="F114" s="47">
        <v>0.42230000000000001</v>
      </c>
      <c r="G114" s="47">
        <v>0.75039999999999996</v>
      </c>
      <c r="H114" s="47">
        <v>0.755</v>
      </c>
      <c r="I114" s="47">
        <v>0.55369999999999997</v>
      </c>
      <c r="J114" s="46">
        <v>0.67020000000000002</v>
      </c>
      <c r="K114" s="46">
        <v>0.28999999999999998</v>
      </c>
      <c r="L114" s="46">
        <v>0.76490000000000002</v>
      </c>
      <c r="M114" s="46">
        <v>0.65339999999999998</v>
      </c>
      <c r="N114" s="46">
        <v>0.69530000000000003</v>
      </c>
      <c r="O114" s="48">
        <f t="shared" si="36"/>
        <v>0.66919999999999991</v>
      </c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</row>
    <row r="115" spans="1:28" ht="13.2">
      <c r="A115" s="46"/>
      <c r="B115" s="46" t="s">
        <v>62</v>
      </c>
      <c r="C115" s="49">
        <v>7.3635000000000002</v>
      </c>
      <c r="D115" s="46">
        <v>12.246</v>
      </c>
      <c r="E115" s="46"/>
      <c r="F115" s="46">
        <v>0.42830000000000001</v>
      </c>
      <c r="G115" s="46">
        <v>0.75580000000000003</v>
      </c>
      <c r="H115" s="46">
        <v>0.748</v>
      </c>
      <c r="I115" s="47">
        <v>0.55530000000000002</v>
      </c>
      <c r="J115" s="46">
        <v>0.67430000000000001</v>
      </c>
      <c r="K115" s="46">
        <v>0.312</v>
      </c>
      <c r="L115" s="46">
        <v>0.76600000000000001</v>
      </c>
      <c r="M115" s="46">
        <v>0.59560000000000002</v>
      </c>
      <c r="N115" s="46">
        <v>0.68030000000000002</v>
      </c>
      <c r="O115" s="46">
        <f t="shared" si="36"/>
        <v>0.6587400000000001</v>
      </c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</row>
    <row r="116" spans="1:28" ht="13.2">
      <c r="A116" s="46"/>
      <c r="B116" s="46" t="s">
        <v>45</v>
      </c>
      <c r="C116" s="49">
        <v>7.3708999999999998</v>
      </c>
      <c r="D116" s="49">
        <v>12.270200000000001</v>
      </c>
      <c r="E116" s="46"/>
      <c r="F116" s="47">
        <v>0.42149999999999999</v>
      </c>
      <c r="G116" s="47">
        <v>0.76300000000000001</v>
      </c>
      <c r="H116" s="47">
        <v>0.74550000000000005</v>
      </c>
      <c r="I116" s="46">
        <v>0.5534</v>
      </c>
      <c r="J116" s="47">
        <v>0.6764</v>
      </c>
      <c r="K116" s="47">
        <v>0.29599999999999999</v>
      </c>
      <c r="L116" s="47">
        <v>0.76439999999999997</v>
      </c>
      <c r="M116" s="47">
        <v>0.57399999999999995</v>
      </c>
      <c r="N116" s="47">
        <v>0.69199999999999995</v>
      </c>
      <c r="O116" s="46">
        <f t="shared" si="36"/>
        <v>0.65367999999999993</v>
      </c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</row>
    <row r="117" spans="1:28" ht="13.2">
      <c r="A117" s="46"/>
      <c r="B117" s="46" t="s">
        <v>63</v>
      </c>
      <c r="C117" s="46">
        <v>7.3689999999999998</v>
      </c>
      <c r="D117" s="46">
        <v>12.234299999999999</v>
      </c>
      <c r="E117" s="46"/>
      <c r="F117" s="47">
        <v>0.43169999999999997</v>
      </c>
      <c r="G117" s="47">
        <v>0.75580000000000003</v>
      </c>
      <c r="H117" s="47">
        <v>0.74309999999999998</v>
      </c>
      <c r="I117" s="47">
        <v>0.55549999999999999</v>
      </c>
      <c r="J117" s="47">
        <v>0.6714</v>
      </c>
      <c r="K117" s="47">
        <v>0.314</v>
      </c>
      <c r="L117" s="47">
        <v>0.76490000000000002</v>
      </c>
      <c r="M117" s="47">
        <v>0.57030000000000003</v>
      </c>
      <c r="N117" s="47">
        <v>0.68500000000000005</v>
      </c>
      <c r="O117" s="46">
        <f t="shared" si="36"/>
        <v>0.65315999999999996</v>
      </c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</row>
    <row r="118" spans="1:28" ht="13.2">
      <c r="A118" s="46" t="s">
        <v>64</v>
      </c>
      <c r="B118" s="46" t="s">
        <v>14</v>
      </c>
      <c r="C118" s="50">
        <v>5.5221</v>
      </c>
      <c r="D118" s="50">
        <v>8.4090000000000007</v>
      </c>
      <c r="E118" s="51"/>
      <c r="F118" s="50">
        <v>0.51280000000000003</v>
      </c>
      <c r="G118" s="50">
        <v>0.81569999999999998</v>
      </c>
      <c r="H118" s="50">
        <v>0.82050000000000001</v>
      </c>
      <c r="I118" s="52">
        <v>0.60019999999999996</v>
      </c>
      <c r="J118" s="52">
        <v>0.75780000000000003</v>
      </c>
      <c r="K118" s="52">
        <v>0.33400000000000002</v>
      </c>
      <c r="L118" s="50">
        <v>0.8014</v>
      </c>
      <c r="M118" s="50">
        <v>0.69310000000000005</v>
      </c>
      <c r="N118" s="52">
        <v>0.73719999999999997</v>
      </c>
      <c r="O118" s="50">
        <f t="shared" si="36"/>
        <v>0.72870000000000013</v>
      </c>
    </row>
    <row r="119" spans="1:28" ht="13.2">
      <c r="A119" s="46"/>
      <c r="B119" s="53" t="s">
        <v>19</v>
      </c>
      <c r="C119" s="50">
        <v>8.0936000000000003</v>
      </c>
      <c r="D119" s="50">
        <v>13.1569</v>
      </c>
      <c r="E119" s="51"/>
      <c r="F119" s="50">
        <v>0.41299999999999998</v>
      </c>
      <c r="G119" s="50">
        <v>0.745</v>
      </c>
      <c r="H119" s="50">
        <v>0.71499999999999997</v>
      </c>
      <c r="I119" s="52">
        <v>0.53639999999999999</v>
      </c>
      <c r="J119" s="52">
        <v>0.66969999999999996</v>
      </c>
      <c r="K119" s="52">
        <v>0.30399999999999999</v>
      </c>
      <c r="L119" s="50">
        <v>0.75600000000000001</v>
      </c>
      <c r="M119" s="50">
        <v>0.624</v>
      </c>
      <c r="N119" s="52">
        <v>0.68189999999999995</v>
      </c>
      <c r="O119" s="50">
        <f t="shared" si="36"/>
        <v>0.65059999999999996</v>
      </c>
    </row>
    <row r="120" spans="1:28" ht="13.2">
      <c r="A120" s="46"/>
      <c r="B120" s="53" t="s">
        <v>62</v>
      </c>
      <c r="C120" s="54">
        <v>7.8933</v>
      </c>
      <c r="D120" s="54">
        <v>12.8506</v>
      </c>
      <c r="E120" s="51"/>
      <c r="F120" s="50">
        <v>0.40699999999999997</v>
      </c>
      <c r="G120" s="54">
        <v>0.749</v>
      </c>
      <c r="H120" s="54">
        <v>0.72399999999999998</v>
      </c>
      <c r="I120" s="52">
        <v>0.54110000000000003</v>
      </c>
      <c r="J120" s="52">
        <v>0.6532</v>
      </c>
      <c r="K120" s="52">
        <v>0.3</v>
      </c>
      <c r="L120" s="54">
        <v>0.76400000000000001</v>
      </c>
      <c r="M120" s="54">
        <v>0.63800000000000001</v>
      </c>
      <c r="N120" s="52">
        <v>0.68899999999999995</v>
      </c>
      <c r="O120" s="54">
        <f t="shared" si="36"/>
        <v>0.65639999999999998</v>
      </c>
    </row>
    <row r="121" spans="1:28" ht="13.2">
      <c r="C121" s="3">
        <v>7.3541999999999996</v>
      </c>
      <c r="D121" s="3">
        <v>12.2376</v>
      </c>
      <c r="F121" s="1">
        <v>0.43</v>
      </c>
      <c r="G121" s="3">
        <v>0.75549999999999995</v>
      </c>
      <c r="H121" s="3">
        <v>0.75139999999999996</v>
      </c>
      <c r="I121" s="3">
        <v>0.55369999999999997</v>
      </c>
      <c r="J121" s="1">
        <v>0.67610000000000003</v>
      </c>
      <c r="K121" s="3">
        <v>0.31</v>
      </c>
      <c r="L121" s="3">
        <v>0.76819999999999999</v>
      </c>
      <c r="M121" s="3">
        <v>0.59930000000000005</v>
      </c>
      <c r="N121" s="3">
        <v>0.68669999999999998</v>
      </c>
      <c r="O121" s="54">
        <f t="shared" si="36"/>
        <v>0.66087999999999991</v>
      </c>
    </row>
    <row r="123" spans="1:28" ht="13.2">
      <c r="A123" s="1" t="s">
        <v>50</v>
      </c>
      <c r="B123" s="1" t="s">
        <v>61</v>
      </c>
      <c r="C123" s="1">
        <v>4.8453999999999997</v>
      </c>
      <c r="D123" s="1">
        <v>7.6040000000000001</v>
      </c>
      <c r="F123" s="55">
        <v>0.51019999999999999</v>
      </c>
      <c r="G123" s="55">
        <v>0.80130000000000001</v>
      </c>
      <c r="H123" s="55">
        <v>0.83479999999999999</v>
      </c>
      <c r="I123" s="55">
        <v>0.61199999999999999</v>
      </c>
      <c r="J123" s="55">
        <v>0.75329999999999997</v>
      </c>
      <c r="K123" s="55">
        <v>0.35599999999999998</v>
      </c>
      <c r="L123" s="55">
        <v>0.79920000000000002</v>
      </c>
      <c r="M123" s="55">
        <v>0.68899999999999995</v>
      </c>
      <c r="N123" s="55">
        <v>0.74260000000000004</v>
      </c>
      <c r="O123" s="1">
        <f t="shared" ref="O123:O128" si="37">AVERAGE(F123,G123,H123,L123,M123)</f>
        <v>0.72689999999999999</v>
      </c>
    </row>
    <row r="124" spans="1:28" ht="13.2">
      <c r="B124" s="1" t="s">
        <v>19</v>
      </c>
      <c r="C124" s="1">
        <v>5.3925000000000001</v>
      </c>
      <c r="D124" s="1">
        <v>8.3747000000000007</v>
      </c>
      <c r="F124" s="55">
        <v>0.44879999999999998</v>
      </c>
      <c r="G124" s="55">
        <v>0.76719999999999999</v>
      </c>
      <c r="H124" s="55">
        <v>0.80910000000000004</v>
      </c>
      <c r="I124" s="55">
        <v>0.58120000000000005</v>
      </c>
      <c r="J124" s="55">
        <v>0.69199999999999995</v>
      </c>
      <c r="K124" s="55">
        <v>0.33400000000000002</v>
      </c>
      <c r="L124" s="55">
        <v>0.7954</v>
      </c>
      <c r="M124" s="55">
        <v>0.6714</v>
      </c>
      <c r="N124" s="55">
        <v>0.71030000000000004</v>
      </c>
      <c r="O124" s="1">
        <f t="shared" si="37"/>
        <v>0.69838</v>
      </c>
    </row>
    <row r="125" spans="1:28" ht="13.2">
      <c r="B125" s="1" t="s">
        <v>62</v>
      </c>
      <c r="C125" s="1">
        <v>5.3808999999999996</v>
      </c>
      <c r="D125" s="1">
        <v>8.3566000000000003</v>
      </c>
      <c r="F125" s="55">
        <v>0.45219999999999999</v>
      </c>
      <c r="G125" s="55">
        <v>0.76590000000000003</v>
      </c>
      <c r="H125" s="55">
        <v>0.82469999999999999</v>
      </c>
      <c r="I125" s="55">
        <v>0.58360000000000001</v>
      </c>
      <c r="J125" s="55">
        <v>0.71</v>
      </c>
      <c r="K125" s="55">
        <v>0.33200000000000002</v>
      </c>
      <c r="L125" s="55">
        <v>0.79100000000000004</v>
      </c>
      <c r="M125" s="55">
        <v>0.6714</v>
      </c>
      <c r="N125" s="55">
        <v>0.71740000000000004</v>
      </c>
      <c r="O125" s="5">
        <f t="shared" si="37"/>
        <v>0.70103999999999989</v>
      </c>
    </row>
    <row r="126" spans="1:28" ht="13.2">
      <c r="B126" s="1" t="s">
        <v>63</v>
      </c>
      <c r="C126" s="1">
        <v>5.383</v>
      </c>
      <c r="D126" s="1">
        <v>8.3688000000000002</v>
      </c>
      <c r="F126" s="55">
        <v>0.45900000000000002</v>
      </c>
      <c r="G126" s="55">
        <v>0.76470000000000005</v>
      </c>
      <c r="H126" s="55">
        <v>0.8165</v>
      </c>
      <c r="I126" s="55">
        <v>0.58409999999999995</v>
      </c>
      <c r="J126" s="55">
        <v>0.7087</v>
      </c>
      <c r="K126" s="55">
        <v>0.33400000000000002</v>
      </c>
      <c r="L126" s="55">
        <v>0.79159999999999997</v>
      </c>
      <c r="M126" s="55">
        <v>0.65339999999999998</v>
      </c>
      <c r="N126" s="55">
        <v>0.70699999999999996</v>
      </c>
      <c r="O126" s="1">
        <f t="shared" si="37"/>
        <v>0.69703999999999999</v>
      </c>
    </row>
    <row r="127" spans="1:28" ht="13.2">
      <c r="B127" s="1" t="s">
        <v>45</v>
      </c>
      <c r="C127" s="3">
        <v>5.4675000000000002</v>
      </c>
      <c r="D127" s="1">
        <v>8.4990000000000006</v>
      </c>
      <c r="F127" s="55">
        <v>0.45300000000000001</v>
      </c>
      <c r="G127" s="55">
        <v>0.76929999999999998</v>
      </c>
      <c r="H127" s="55">
        <v>0.8266</v>
      </c>
      <c r="I127" s="55">
        <v>0.58260000000000001</v>
      </c>
      <c r="J127" s="55">
        <v>0.70520000000000005</v>
      </c>
      <c r="K127" s="55">
        <v>0.34399999999999997</v>
      </c>
      <c r="L127" s="55">
        <v>0.78939999999999999</v>
      </c>
      <c r="M127" s="55">
        <v>0.64980000000000004</v>
      </c>
      <c r="N127" s="55">
        <v>0.71819999999999995</v>
      </c>
      <c r="O127" s="1">
        <f t="shared" si="37"/>
        <v>0.69761999999999991</v>
      </c>
    </row>
    <row r="128" spans="1:28" ht="13.2">
      <c r="B128" s="1" t="s">
        <v>65</v>
      </c>
      <c r="C128" s="3">
        <v>5.4335000000000004</v>
      </c>
      <c r="D128" s="3">
        <v>8.4459</v>
      </c>
      <c r="F128" s="3">
        <v>0.45669999999999999</v>
      </c>
      <c r="G128" s="3">
        <v>0.76429999999999998</v>
      </c>
      <c r="H128" s="3">
        <v>0.81799999999999995</v>
      </c>
      <c r="I128" s="3">
        <v>0.58309999999999995</v>
      </c>
      <c r="J128" s="3">
        <v>0.69610000000000005</v>
      </c>
      <c r="K128" s="3">
        <v>0.33400000000000002</v>
      </c>
      <c r="L128" s="3">
        <v>0.79110000000000003</v>
      </c>
      <c r="M128" s="3">
        <v>0.67310000000000003</v>
      </c>
      <c r="N128" s="3">
        <v>0.7127</v>
      </c>
      <c r="O128" s="1">
        <f t="shared" si="37"/>
        <v>0.70064000000000015</v>
      </c>
    </row>
    <row r="130" spans="1:28" ht="13.2">
      <c r="B130" s="7" t="s">
        <v>19</v>
      </c>
      <c r="C130" s="11">
        <v>5.5720000000000001</v>
      </c>
      <c r="D130" s="11">
        <v>8.6483000000000008</v>
      </c>
      <c r="E130" s="10"/>
      <c r="F130" s="13">
        <v>0.43940000000000001</v>
      </c>
      <c r="G130" s="11">
        <v>0.76349999999999996</v>
      </c>
      <c r="H130" s="11">
        <v>0.78039999999999998</v>
      </c>
      <c r="I130" s="32">
        <v>0.57679999999999998</v>
      </c>
      <c r="J130" s="32">
        <v>0.68459999999999999</v>
      </c>
      <c r="K130" s="32">
        <v>0.28999999999999998</v>
      </c>
      <c r="L130" s="11">
        <v>0.78669999999999995</v>
      </c>
      <c r="M130" s="11">
        <v>0.60289999999999999</v>
      </c>
      <c r="N130" s="32">
        <v>0.70640000000000003</v>
      </c>
      <c r="O130" s="11">
        <f t="shared" ref="O130:O131" si="38">AVERAGE(F130,G130,H130,L130,M130)</f>
        <v>0.67457999999999996</v>
      </c>
    </row>
    <row r="131" spans="1:28" ht="13.2">
      <c r="B131" s="1" t="s">
        <v>62</v>
      </c>
      <c r="C131" s="13">
        <v>5.5236999999999998</v>
      </c>
      <c r="D131" s="13">
        <v>8.5520999999999994</v>
      </c>
      <c r="E131" s="10"/>
      <c r="F131" s="11">
        <v>0.43859999999999999</v>
      </c>
      <c r="G131" s="13">
        <v>0.76559999999999995</v>
      </c>
      <c r="H131" s="13">
        <v>0.79359999999999997</v>
      </c>
      <c r="I131" s="32">
        <v>0.58140000000000003</v>
      </c>
      <c r="J131" s="39">
        <v>0.69220000000000004</v>
      </c>
      <c r="K131" s="32">
        <v>0.29199999999999998</v>
      </c>
      <c r="L131" s="13">
        <v>0.7873</v>
      </c>
      <c r="M131" s="13">
        <v>0.61729999999999996</v>
      </c>
      <c r="N131" s="32">
        <v>0.70320000000000005</v>
      </c>
      <c r="O131" s="13">
        <f t="shared" si="38"/>
        <v>0.68047999999999997</v>
      </c>
    </row>
    <row r="135" spans="1:28" ht="15" customHeight="1"/>
    <row r="137" spans="1:28" ht="13.2">
      <c r="A137" s="1" t="s">
        <v>66</v>
      </c>
    </row>
    <row r="138" spans="1:28" ht="13.2">
      <c r="C138" s="1" t="s">
        <v>2</v>
      </c>
      <c r="D138" s="1" t="s">
        <v>3</v>
      </c>
      <c r="F138" s="1" t="s">
        <v>31</v>
      </c>
      <c r="G138" s="1" t="s">
        <v>32</v>
      </c>
      <c r="H138" s="1" t="s">
        <v>6</v>
      </c>
      <c r="L138" s="1" t="s">
        <v>10</v>
      </c>
      <c r="M138" s="1" t="s">
        <v>11</v>
      </c>
      <c r="O138" s="1" t="s">
        <v>13</v>
      </c>
    </row>
    <row r="139" spans="1:28" ht="13.2">
      <c r="A139" s="46" t="s">
        <v>64</v>
      </c>
      <c r="B139" s="53" t="s">
        <v>19</v>
      </c>
      <c r="C139" s="50">
        <v>8.0936000000000003</v>
      </c>
      <c r="D139" s="50">
        <v>13.1569</v>
      </c>
      <c r="E139" s="51"/>
      <c r="F139" s="50">
        <v>0.41299999999999998</v>
      </c>
      <c r="G139" s="50">
        <v>0.745</v>
      </c>
      <c r="H139" s="50">
        <v>0.71499999999999997</v>
      </c>
      <c r="I139" s="52">
        <v>0.53639999999999999</v>
      </c>
      <c r="J139" s="52">
        <v>0.66969999999999996</v>
      </c>
      <c r="K139" s="52">
        <v>0.30399999999999999</v>
      </c>
      <c r="L139" s="50">
        <v>0.75600000000000001</v>
      </c>
      <c r="M139" s="50">
        <v>0.624</v>
      </c>
      <c r="N139" s="52">
        <v>0.68189999999999995</v>
      </c>
      <c r="O139" s="50">
        <f t="shared" ref="O139:O141" si="39">AVERAGE(F139,G139,H139,L139,M139)</f>
        <v>0.65059999999999996</v>
      </c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</row>
    <row r="140" spans="1:28" ht="13.2">
      <c r="A140" s="1" t="s">
        <v>67</v>
      </c>
      <c r="B140" s="1" t="s">
        <v>19</v>
      </c>
      <c r="C140" s="11">
        <v>8.0936000000000003</v>
      </c>
      <c r="D140" s="11">
        <v>13.1569</v>
      </c>
      <c r="E140" s="10"/>
      <c r="F140" s="11">
        <v>0.41299999999999998</v>
      </c>
      <c r="G140" s="11">
        <v>0.745</v>
      </c>
      <c r="H140" s="11">
        <v>0.71499999999999997</v>
      </c>
      <c r="I140" s="32">
        <v>0.53639999999999999</v>
      </c>
      <c r="J140" s="32">
        <v>0.66969999999999996</v>
      </c>
      <c r="K140" s="32">
        <v>0.30399999999999999</v>
      </c>
      <c r="L140" s="11">
        <v>0.75600000000000001</v>
      </c>
      <c r="M140" s="11">
        <v>0.624</v>
      </c>
      <c r="N140" s="32">
        <v>0.68189999999999995</v>
      </c>
      <c r="O140" s="11">
        <f t="shared" si="39"/>
        <v>0.65059999999999996</v>
      </c>
    </row>
    <row r="141" spans="1:28" ht="13.2">
      <c r="B141" s="1" t="s">
        <v>62</v>
      </c>
      <c r="C141" s="13">
        <v>7.8933</v>
      </c>
      <c r="D141" s="11">
        <v>12.8506</v>
      </c>
      <c r="E141" s="10"/>
      <c r="F141" s="11">
        <v>0.40699999999999997</v>
      </c>
      <c r="G141" s="13">
        <v>0.749</v>
      </c>
      <c r="H141" s="13">
        <v>0.72399999999999998</v>
      </c>
      <c r="I141" s="32">
        <v>0.54110000000000003</v>
      </c>
      <c r="J141" s="32">
        <v>0.6532</v>
      </c>
      <c r="K141" s="32">
        <v>0.3</v>
      </c>
      <c r="L141" s="13">
        <v>0.76400000000000001</v>
      </c>
      <c r="M141" s="13">
        <v>0.63800000000000001</v>
      </c>
      <c r="N141" s="32">
        <v>0.68899999999999995</v>
      </c>
      <c r="O141" s="13">
        <f t="shared" si="39"/>
        <v>0.65639999999999998</v>
      </c>
    </row>
    <row r="142" spans="1:28" ht="13.2">
      <c r="B142" s="1" t="s">
        <v>45</v>
      </c>
      <c r="C142" s="1">
        <v>7.9058999999999999</v>
      </c>
      <c r="D142" s="1">
        <v>12.9137</v>
      </c>
      <c r="F142" s="1">
        <v>0.40847</v>
      </c>
      <c r="G142" s="1">
        <v>0.75700000000000001</v>
      </c>
      <c r="H142" s="1">
        <v>0.72072999999999998</v>
      </c>
      <c r="I142" s="1">
        <v>0.54059999999999997</v>
      </c>
      <c r="J142" s="1">
        <v>0.67303000000000002</v>
      </c>
      <c r="K142" s="1">
        <v>0.29532999999999998</v>
      </c>
      <c r="L142" s="1">
        <v>0.76422999999999996</v>
      </c>
      <c r="M142" s="1">
        <v>0.57110000000000005</v>
      </c>
      <c r="N142" s="1">
        <v>0.68913000000000002</v>
      </c>
      <c r="O142" s="1">
        <v>0.64431000000000005</v>
      </c>
    </row>
    <row r="143" spans="1:28" ht="13.2">
      <c r="B143" s="1" t="s">
        <v>63</v>
      </c>
      <c r="C143" s="1">
        <v>7.9025999999999996</v>
      </c>
      <c r="D143" s="5">
        <v>12.8201</v>
      </c>
      <c r="E143" s="1"/>
      <c r="F143" s="1">
        <v>0.41866999999999999</v>
      </c>
      <c r="G143" s="1">
        <v>0.74980000000000002</v>
      </c>
      <c r="H143" s="1">
        <v>0.71833000000000002</v>
      </c>
      <c r="I143" s="1">
        <v>0.54269999999999996</v>
      </c>
      <c r="J143" s="1">
        <v>0.66803000000000001</v>
      </c>
      <c r="K143" s="1">
        <v>0.31333</v>
      </c>
      <c r="L143" s="1">
        <v>0.76473000000000002</v>
      </c>
      <c r="M143" s="1">
        <v>0.56740000000000002</v>
      </c>
      <c r="N143" s="1">
        <v>0.68213000000000001</v>
      </c>
      <c r="O143" s="1">
        <v>0.64378999999999997</v>
      </c>
    </row>
    <row r="144" spans="1:28" ht="13.2">
      <c r="B144" s="1" t="s">
        <v>65</v>
      </c>
      <c r="C144" s="1">
        <v>7.8975</v>
      </c>
      <c r="D144" s="1">
        <v>12.8287</v>
      </c>
      <c r="E144" s="1"/>
      <c r="F144" s="1">
        <v>0.41470000000000001</v>
      </c>
      <c r="G144" s="1">
        <v>0.74939999999999996</v>
      </c>
      <c r="H144" s="1">
        <v>0.71940000000000004</v>
      </c>
      <c r="I144" s="1">
        <v>0.53795000000000004</v>
      </c>
      <c r="J144" s="1">
        <v>0.6653</v>
      </c>
      <c r="K144" s="1">
        <v>0.311</v>
      </c>
      <c r="L144" s="1">
        <v>0.76275000000000004</v>
      </c>
      <c r="M144" s="1">
        <v>0.60580000000000001</v>
      </c>
      <c r="N144" s="1">
        <v>0.68435000000000001</v>
      </c>
      <c r="O144" s="1">
        <v>0.65041000000000004</v>
      </c>
    </row>
    <row r="145" spans="1:28" ht="13.2">
      <c r="A145" s="23"/>
      <c r="B145" s="27"/>
      <c r="C145" s="22"/>
      <c r="D145" s="22"/>
      <c r="E145" s="23"/>
      <c r="F145" s="24"/>
      <c r="G145" s="22"/>
      <c r="H145" s="22"/>
      <c r="I145" s="56"/>
      <c r="J145" s="56"/>
      <c r="K145" s="56"/>
      <c r="L145" s="22"/>
      <c r="M145" s="22"/>
      <c r="N145" s="56"/>
      <c r="O145" s="22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</row>
    <row r="146" spans="1:28" ht="13.2">
      <c r="A146" s="57" t="s">
        <v>64</v>
      </c>
      <c r="B146" s="58" t="s">
        <v>19</v>
      </c>
      <c r="C146" s="59">
        <v>5.5720000000000001</v>
      </c>
      <c r="D146" s="59">
        <v>8.6483000000000008</v>
      </c>
      <c r="E146" s="57"/>
      <c r="F146" s="60">
        <v>0.43940000000000001</v>
      </c>
      <c r="G146" s="59">
        <v>0.76349999999999996</v>
      </c>
      <c r="H146" s="59">
        <v>0.78039999999999998</v>
      </c>
      <c r="I146" s="61">
        <v>0.57679999999999998</v>
      </c>
      <c r="J146" s="61">
        <v>0.68459999999999999</v>
      </c>
      <c r="K146" s="61">
        <v>0.28999999999999998</v>
      </c>
      <c r="L146" s="59">
        <v>0.78669999999999995</v>
      </c>
      <c r="M146" s="59">
        <v>0.60289999999999999</v>
      </c>
      <c r="N146" s="61">
        <v>0.70640000000000003</v>
      </c>
      <c r="O146" s="59">
        <f t="shared" ref="O146:O148" si="40">AVERAGE(F146,G146,H146,L146,M146)</f>
        <v>0.67457999999999996</v>
      </c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</row>
    <row r="147" spans="1:28" ht="13.2">
      <c r="A147" s="1" t="s">
        <v>15</v>
      </c>
      <c r="B147" s="7" t="s">
        <v>19</v>
      </c>
      <c r="C147" s="11">
        <v>5.5720000000000001</v>
      </c>
      <c r="D147" s="11">
        <v>8.6483000000000008</v>
      </c>
      <c r="E147" s="10"/>
      <c r="F147" s="13">
        <v>0.43940000000000001</v>
      </c>
      <c r="G147" s="11">
        <v>0.76349999999999996</v>
      </c>
      <c r="H147" s="11">
        <v>0.78039999999999998</v>
      </c>
      <c r="I147" s="32">
        <v>0.57679999999999998</v>
      </c>
      <c r="J147" s="32">
        <v>0.68459999999999999</v>
      </c>
      <c r="K147" s="32">
        <v>0.28999999999999998</v>
      </c>
      <c r="L147" s="11">
        <v>0.78669999999999995</v>
      </c>
      <c r="M147" s="11">
        <v>0.60289999999999999</v>
      </c>
      <c r="N147" s="32">
        <v>0.70640000000000003</v>
      </c>
      <c r="O147" s="11">
        <f t="shared" si="40"/>
        <v>0.67457999999999996</v>
      </c>
    </row>
    <row r="148" spans="1:28" ht="13.2">
      <c r="B148" s="1" t="s">
        <v>62</v>
      </c>
      <c r="C148" s="13">
        <v>5.5236999999999998</v>
      </c>
      <c r="D148" s="13">
        <v>8.5520999999999994</v>
      </c>
      <c r="E148" s="10"/>
      <c r="F148" s="11">
        <v>0.43859999999999999</v>
      </c>
      <c r="G148" s="13">
        <v>0.76559999999999995</v>
      </c>
      <c r="H148" s="13">
        <v>0.79359999999999997</v>
      </c>
      <c r="I148" s="32">
        <v>0.58140000000000003</v>
      </c>
      <c r="J148" s="39">
        <v>0.69220000000000004</v>
      </c>
      <c r="K148" s="32">
        <v>0.29199999999999998</v>
      </c>
      <c r="L148" s="13">
        <v>0.7873</v>
      </c>
      <c r="M148" s="13">
        <v>0.61729999999999996</v>
      </c>
      <c r="N148" s="32">
        <v>0.70320000000000005</v>
      </c>
      <c r="O148" s="13">
        <f t="shared" si="40"/>
        <v>0.68047999999999997</v>
      </c>
    </row>
    <row r="149" spans="1:28" ht="13.2">
      <c r="B149" s="1" t="s">
        <v>45</v>
      </c>
      <c r="C149" s="1">
        <v>5.8842999999999996</v>
      </c>
      <c r="D149" s="1">
        <v>8.6588999999999992</v>
      </c>
      <c r="E149" s="1"/>
      <c r="F149" s="1">
        <v>0.4415</v>
      </c>
      <c r="G149" s="1">
        <v>0.76729999999999998</v>
      </c>
      <c r="H149" s="1">
        <v>0.79669999999999996</v>
      </c>
      <c r="I149" s="1">
        <v>0.57930000000000004</v>
      </c>
      <c r="J149" s="1">
        <v>0.69259999999999999</v>
      </c>
      <c r="K149" s="1">
        <v>0.30199999999999999</v>
      </c>
      <c r="L149" s="1">
        <v>0.78320000000000001</v>
      </c>
      <c r="M149" s="1">
        <v>0.58850000000000002</v>
      </c>
      <c r="N149" s="1">
        <v>0.70914999999999995</v>
      </c>
      <c r="O149" s="1">
        <v>0.67544000000000004</v>
      </c>
    </row>
    <row r="150" spans="1:28" ht="13.2">
      <c r="B150" s="1" t="s">
        <v>63</v>
      </c>
      <c r="C150" s="1">
        <v>5.5324</v>
      </c>
      <c r="D150" s="1">
        <v>8.6168999999999993</v>
      </c>
      <c r="E150" s="1"/>
      <c r="F150" s="1">
        <v>0.44750000000000001</v>
      </c>
      <c r="G150" s="1">
        <v>0.76270000000000004</v>
      </c>
      <c r="H150" s="1">
        <v>0.78659999999999997</v>
      </c>
      <c r="I150" s="1">
        <v>0.58079999999999998</v>
      </c>
      <c r="J150" s="1">
        <v>0.69610000000000005</v>
      </c>
      <c r="K150" s="1">
        <v>0.29199999999999998</v>
      </c>
      <c r="L150" s="1">
        <v>0.78539999999999999</v>
      </c>
      <c r="M150" s="1">
        <v>0.59209999999999996</v>
      </c>
      <c r="N150" s="1">
        <v>0.69794999999999996</v>
      </c>
      <c r="O150" s="1">
        <v>0.67479999999999996</v>
      </c>
    </row>
    <row r="151" spans="1:28" ht="13.2">
      <c r="B151" s="1" t="s">
        <v>65</v>
      </c>
      <c r="C151" s="1">
        <v>5.7427000000000001</v>
      </c>
      <c r="D151" s="1">
        <v>8.8267000000000007</v>
      </c>
      <c r="E151" s="1"/>
      <c r="F151" s="1">
        <v>0.44519999999999998</v>
      </c>
      <c r="G151" s="1">
        <v>0.76229999999999998</v>
      </c>
      <c r="H151" s="1">
        <v>0.78810000000000002</v>
      </c>
      <c r="I151" s="1">
        <v>0.57979999999999998</v>
      </c>
      <c r="J151" s="1">
        <v>0.6835</v>
      </c>
      <c r="K151" s="1">
        <v>0.29199999999999998</v>
      </c>
      <c r="L151" s="1">
        <v>0.78490000000000004</v>
      </c>
      <c r="M151" s="1">
        <v>0.61180000000000001</v>
      </c>
      <c r="N151" s="1">
        <v>0.70365</v>
      </c>
      <c r="O151" s="1">
        <v>0.67845999999999995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30"/>
  <sheetViews>
    <sheetView workbookViewId="0"/>
  </sheetViews>
  <sheetFormatPr defaultColWidth="12.6640625" defaultRowHeight="15.75" customHeight="1"/>
  <sheetData>
    <row r="1" spans="1:15">
      <c r="A1" s="1" t="s">
        <v>66</v>
      </c>
    </row>
    <row r="2" spans="1:15">
      <c r="C2" s="1" t="s">
        <v>2</v>
      </c>
      <c r="D2" s="1" t="s">
        <v>3</v>
      </c>
      <c r="F2" s="1" t="s">
        <v>31</v>
      </c>
      <c r="G2" s="1" t="s">
        <v>32</v>
      </c>
      <c r="H2" s="1" t="s">
        <v>6</v>
      </c>
      <c r="L2" s="1" t="s">
        <v>10</v>
      </c>
      <c r="M2" s="1" t="s">
        <v>11</v>
      </c>
      <c r="O2" s="1" t="s">
        <v>13</v>
      </c>
    </row>
    <row r="3" spans="1:15">
      <c r="A3" s="1" t="s">
        <v>67</v>
      </c>
      <c r="B3" s="1" t="s">
        <v>19</v>
      </c>
      <c r="C3" s="11">
        <v>8.0936000000000003</v>
      </c>
      <c r="D3" s="11">
        <v>13.1569</v>
      </c>
      <c r="E3" s="10"/>
      <c r="F3" s="11">
        <v>0.41299999999999998</v>
      </c>
      <c r="G3" s="11">
        <v>0.745</v>
      </c>
      <c r="H3" s="11">
        <v>0.71499999999999997</v>
      </c>
      <c r="I3" s="32">
        <v>0.53639999999999999</v>
      </c>
      <c r="J3" s="32">
        <v>0.66969999999999996</v>
      </c>
      <c r="K3" s="32">
        <v>0.30399999999999999</v>
      </c>
      <c r="L3" s="11">
        <v>0.75600000000000001</v>
      </c>
      <c r="M3" s="11">
        <v>0.624</v>
      </c>
      <c r="N3" s="32">
        <v>0.68189999999999995</v>
      </c>
      <c r="O3" s="11">
        <f t="shared" ref="O3:O4" si="0">AVERAGE(F3,G3,H3,L3,M3)</f>
        <v>0.65059999999999996</v>
      </c>
    </row>
    <row r="4" spans="1:15">
      <c r="B4" s="1" t="s">
        <v>62</v>
      </c>
      <c r="C4" s="13">
        <v>7.8933</v>
      </c>
      <c r="D4" s="11">
        <v>12.8506</v>
      </c>
      <c r="E4" s="10"/>
      <c r="F4" s="11">
        <v>0.40699999999999997</v>
      </c>
      <c r="G4" s="13">
        <v>0.749</v>
      </c>
      <c r="H4" s="13">
        <v>0.72399999999999998</v>
      </c>
      <c r="I4" s="32">
        <v>0.54110000000000003</v>
      </c>
      <c r="J4" s="32">
        <v>0.6532</v>
      </c>
      <c r="K4" s="32">
        <v>0.3</v>
      </c>
      <c r="L4" s="13">
        <v>0.76400000000000001</v>
      </c>
      <c r="M4" s="13">
        <v>0.63800000000000001</v>
      </c>
      <c r="N4" s="32">
        <v>0.68899999999999995</v>
      </c>
      <c r="O4" s="13">
        <f t="shared" si="0"/>
        <v>0.65639999999999998</v>
      </c>
    </row>
    <row r="5" spans="1:15">
      <c r="B5" s="1" t="s">
        <v>45</v>
      </c>
      <c r="C5" s="1">
        <v>7.9058999999999999</v>
      </c>
      <c r="D5" s="1">
        <v>12.9137</v>
      </c>
      <c r="F5" s="1">
        <v>0.40847</v>
      </c>
      <c r="G5" s="1">
        <v>0.75700000000000001</v>
      </c>
      <c r="H5" s="1">
        <v>0.72072999999999998</v>
      </c>
      <c r="I5" s="1">
        <v>0.54059999999999997</v>
      </c>
      <c r="J5" s="1">
        <v>0.67303000000000002</v>
      </c>
      <c r="K5" s="1">
        <v>0.29532999999999998</v>
      </c>
      <c r="L5" s="1">
        <v>0.76422999999999996</v>
      </c>
      <c r="M5" s="1">
        <v>0.57110000000000005</v>
      </c>
      <c r="N5" s="1">
        <v>0.68913000000000002</v>
      </c>
      <c r="O5" s="1">
        <v>0.64431000000000005</v>
      </c>
    </row>
    <row r="6" spans="1:15">
      <c r="B6" s="1" t="s">
        <v>63</v>
      </c>
      <c r="C6" s="1">
        <v>7.9025999999999996</v>
      </c>
      <c r="D6" s="5">
        <v>12.8201</v>
      </c>
      <c r="E6" s="1"/>
      <c r="F6" s="1">
        <v>0.41866999999999999</v>
      </c>
      <c r="G6" s="1">
        <v>0.74980000000000002</v>
      </c>
      <c r="H6" s="1">
        <v>0.71833000000000002</v>
      </c>
      <c r="I6" s="1">
        <v>0.54269999999999996</v>
      </c>
      <c r="J6" s="1">
        <v>0.66803000000000001</v>
      </c>
      <c r="K6" s="1">
        <v>0.31333</v>
      </c>
      <c r="L6" s="1">
        <v>0.76473000000000002</v>
      </c>
      <c r="M6" s="1">
        <v>0.56740000000000002</v>
      </c>
      <c r="N6" s="1">
        <v>0.68213000000000001</v>
      </c>
      <c r="O6" s="1">
        <v>0.64378999999999997</v>
      </c>
    </row>
    <row r="9" spans="1:15">
      <c r="A9" s="1" t="s">
        <v>15</v>
      </c>
      <c r="B9" s="7" t="s">
        <v>19</v>
      </c>
      <c r="C9" s="11">
        <v>5.5720000000000001</v>
      </c>
      <c r="D9" s="11">
        <v>8.6483000000000008</v>
      </c>
      <c r="E9" s="10"/>
      <c r="F9" s="13">
        <v>0.43940000000000001</v>
      </c>
      <c r="G9" s="11">
        <v>0.76349999999999996</v>
      </c>
      <c r="H9" s="11">
        <v>0.78039999999999998</v>
      </c>
      <c r="I9" s="32">
        <v>0.57679999999999998</v>
      </c>
      <c r="J9" s="32">
        <v>0.68459999999999999</v>
      </c>
      <c r="K9" s="32">
        <v>0.28999999999999998</v>
      </c>
      <c r="L9" s="11">
        <v>0.78669999999999995</v>
      </c>
      <c r="M9" s="11">
        <v>0.60289999999999999</v>
      </c>
      <c r="N9" s="32">
        <v>0.70640000000000003</v>
      </c>
      <c r="O9" s="11">
        <f t="shared" ref="O9:O10" si="1">AVERAGE(F9,G9,H9,L9,M9)</f>
        <v>0.67457999999999996</v>
      </c>
    </row>
    <row r="10" spans="1:15">
      <c r="B10" s="1" t="s">
        <v>62</v>
      </c>
      <c r="C10" s="13">
        <v>5.5236999999999998</v>
      </c>
      <c r="D10" s="13">
        <v>8.5520999999999994</v>
      </c>
      <c r="E10" s="10"/>
      <c r="F10" s="11">
        <v>0.43859999999999999</v>
      </c>
      <c r="G10" s="13">
        <v>0.76559999999999995</v>
      </c>
      <c r="H10" s="13">
        <v>0.79359999999999997</v>
      </c>
      <c r="I10" s="32">
        <v>0.58140000000000003</v>
      </c>
      <c r="J10" s="39">
        <v>0.69220000000000004</v>
      </c>
      <c r="K10" s="32">
        <v>0.29199999999999998</v>
      </c>
      <c r="L10" s="13">
        <v>0.7873</v>
      </c>
      <c r="M10" s="13">
        <v>0.61729999999999996</v>
      </c>
      <c r="N10" s="32">
        <v>0.70320000000000005</v>
      </c>
      <c r="O10" s="13">
        <f t="shared" si="1"/>
        <v>0.68047999999999997</v>
      </c>
    </row>
    <row r="11" spans="1:15">
      <c r="B11" s="1" t="s">
        <v>45</v>
      </c>
      <c r="C11" s="1">
        <v>5.8842999999999996</v>
      </c>
      <c r="D11" s="1">
        <v>8.6588999999999992</v>
      </c>
      <c r="E11" s="1"/>
      <c r="F11" s="1">
        <v>0.4415</v>
      </c>
      <c r="G11" s="1">
        <v>0.76729999999999998</v>
      </c>
      <c r="H11" s="1">
        <v>0.79669999999999996</v>
      </c>
      <c r="I11" s="1">
        <v>0.57930000000000004</v>
      </c>
      <c r="J11" s="1">
        <v>0.69259999999999999</v>
      </c>
      <c r="K11" s="1">
        <v>0.30199999999999999</v>
      </c>
      <c r="L11" s="1">
        <v>0.78320000000000001</v>
      </c>
      <c r="M11" s="1">
        <v>0.58850000000000002</v>
      </c>
      <c r="N11" s="1">
        <v>0.70914999999999995</v>
      </c>
      <c r="O11" s="1">
        <v>0.67544000000000004</v>
      </c>
    </row>
    <row r="12" spans="1:15">
      <c r="B12" s="1" t="s">
        <v>63</v>
      </c>
      <c r="C12" s="1">
        <v>5.5324</v>
      </c>
      <c r="D12" s="1">
        <v>8.6168999999999993</v>
      </c>
      <c r="E12" s="1"/>
      <c r="F12" s="1">
        <v>0.44750000000000001</v>
      </c>
      <c r="G12" s="1">
        <v>0.76270000000000004</v>
      </c>
      <c r="H12" s="1">
        <v>0.78659999999999997</v>
      </c>
      <c r="I12" s="1">
        <v>0.58079999999999998</v>
      </c>
      <c r="J12" s="1">
        <v>0.69610000000000005</v>
      </c>
      <c r="K12" s="1">
        <v>0.29199999999999998</v>
      </c>
      <c r="L12" s="1">
        <v>0.78539999999999999</v>
      </c>
      <c r="M12" s="1">
        <v>0.59209999999999996</v>
      </c>
      <c r="N12" s="1">
        <v>0.69794999999999996</v>
      </c>
      <c r="O12" s="1">
        <v>0.67479999999999996</v>
      </c>
    </row>
    <row r="18" spans="1:27">
      <c r="A18" s="7" t="s">
        <v>38</v>
      </c>
      <c r="C18" s="1" t="s">
        <v>2</v>
      </c>
      <c r="D18" s="1" t="s">
        <v>3</v>
      </c>
      <c r="F18" s="1" t="s">
        <v>31</v>
      </c>
      <c r="G18" s="1" t="s">
        <v>32</v>
      </c>
      <c r="H18" s="1" t="s">
        <v>6</v>
      </c>
      <c r="I18" s="1" t="s">
        <v>10</v>
      </c>
      <c r="J18" s="1" t="s">
        <v>11</v>
      </c>
      <c r="K18" s="1" t="s">
        <v>13</v>
      </c>
    </row>
    <row r="19" spans="1:27">
      <c r="B19" s="25" t="s">
        <v>18</v>
      </c>
      <c r="C19" s="1">
        <v>6.6139999999999999</v>
      </c>
      <c r="D19" s="1">
        <v>10.471</v>
      </c>
      <c r="F19" s="1">
        <v>0.436</v>
      </c>
      <c r="G19" s="1">
        <v>0.77300000000000002</v>
      </c>
      <c r="H19" s="1">
        <v>0.72499999999999998</v>
      </c>
      <c r="I19" s="1">
        <v>0.76700000000000002</v>
      </c>
      <c r="J19" s="1">
        <v>0.68600000000000005</v>
      </c>
      <c r="K19" s="1">
        <f>AVERAGE(F19,G19,H19,I19,J19)</f>
        <v>0.6774</v>
      </c>
    </row>
    <row r="21" spans="1:27">
      <c r="A21" s="1" t="s">
        <v>33</v>
      </c>
    </row>
    <row r="22" spans="1:27">
      <c r="B22" s="25" t="s">
        <v>18</v>
      </c>
      <c r="C22" s="1">
        <v>6.7089999999999996</v>
      </c>
      <c r="D22" s="1">
        <v>11.538</v>
      </c>
      <c r="F22" s="1">
        <v>0.45100000000000001</v>
      </c>
      <c r="G22" s="1">
        <v>0.77900000000000003</v>
      </c>
      <c r="H22" s="1">
        <v>0.80500000000000005</v>
      </c>
      <c r="I22" s="1">
        <v>0.77800000000000002</v>
      </c>
      <c r="J22" s="1">
        <v>0.72899999999999998</v>
      </c>
      <c r="K22" s="1">
        <f>AVERAGE(F22,G22,H22,I22,J22)</f>
        <v>0.70840000000000003</v>
      </c>
    </row>
    <row r="25" spans="1:27">
      <c r="A25" s="1" t="s">
        <v>68</v>
      </c>
      <c r="C25" s="1" t="s">
        <v>2</v>
      </c>
      <c r="D25" s="1" t="s">
        <v>3</v>
      </c>
      <c r="F25" s="1" t="s">
        <v>31</v>
      </c>
      <c r="G25" s="1" t="s">
        <v>32</v>
      </c>
      <c r="H25" s="1" t="s">
        <v>6</v>
      </c>
      <c r="I25" s="1" t="s">
        <v>10</v>
      </c>
      <c r="J25" s="1" t="s">
        <v>11</v>
      </c>
      <c r="K25" s="1" t="s">
        <v>13</v>
      </c>
    </row>
    <row r="26" spans="1:27">
      <c r="A26" s="1" t="s">
        <v>52</v>
      </c>
      <c r="B26" s="1" t="s">
        <v>35</v>
      </c>
      <c r="C26" s="1">
        <v>5.6795999999999998</v>
      </c>
      <c r="D26" s="1">
        <v>8.8828999999999994</v>
      </c>
      <c r="F26" s="1">
        <v>0.44453999999999999</v>
      </c>
      <c r="G26" s="1">
        <v>0.75883999999999996</v>
      </c>
      <c r="H26" s="1">
        <v>0.77156000000000002</v>
      </c>
      <c r="I26" s="1">
        <v>0.78564000000000001</v>
      </c>
      <c r="J26" s="1">
        <v>0.65703999999999996</v>
      </c>
      <c r="K26" s="1">
        <f t="shared" ref="K26:K27" si="2">AVERAGE(F26,G26,H26,I26,J26)</f>
        <v>0.68352400000000002</v>
      </c>
    </row>
    <row r="27" spans="1:27">
      <c r="B27" s="1" t="s">
        <v>69</v>
      </c>
      <c r="C27" s="1">
        <v>5.6390000000000002</v>
      </c>
      <c r="D27" s="1">
        <v>8.7398000000000007</v>
      </c>
      <c r="F27" s="1">
        <v>0.44966</v>
      </c>
      <c r="G27" s="1">
        <v>0.76346999999999998</v>
      </c>
      <c r="H27" s="1">
        <v>0.78593000000000002</v>
      </c>
      <c r="I27" s="1">
        <v>0.78671999999999997</v>
      </c>
      <c r="J27" s="1">
        <v>0.68952999999999998</v>
      </c>
      <c r="K27" s="1">
        <f t="shared" si="2"/>
        <v>0.69506199999999996</v>
      </c>
    </row>
    <row r="29" spans="1:27">
      <c r="A29" s="27" t="s">
        <v>50</v>
      </c>
      <c r="B29" s="23" t="s">
        <v>16</v>
      </c>
      <c r="C29" s="22">
        <v>5.5590999999999999</v>
      </c>
      <c r="D29" s="22">
        <v>8.6096000000000004</v>
      </c>
      <c r="E29" s="22">
        <f t="shared" ref="E29:E30" si="3">AVERAGE(C29:D29)</f>
        <v>7.0843500000000006</v>
      </c>
      <c r="F29" s="22">
        <v>0.44880999999999999</v>
      </c>
      <c r="G29" s="22">
        <v>0.76431000000000004</v>
      </c>
      <c r="H29" s="22">
        <v>0.79847000000000001</v>
      </c>
      <c r="I29" s="22">
        <v>0.74319999999999997</v>
      </c>
      <c r="J29" s="22">
        <v>0.58840000000000003</v>
      </c>
      <c r="K29" s="22">
        <f>AVERAGE(F29,G29,H30,I29,J29)</f>
        <v>0.66814400000000007</v>
      </c>
      <c r="N29" s="22">
        <v>0.73319999999999996</v>
      </c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1:27">
      <c r="A30" s="23"/>
      <c r="B30" s="23" t="s">
        <v>51</v>
      </c>
      <c r="C30" s="24">
        <v>5.5301999999999998</v>
      </c>
      <c r="D30" s="24">
        <v>8.4910999999999994</v>
      </c>
      <c r="E30" s="24">
        <f t="shared" si="3"/>
        <v>7.01065</v>
      </c>
      <c r="F30" s="24">
        <v>0.45391999999999999</v>
      </c>
      <c r="G30" s="24">
        <v>0.76639999999999997</v>
      </c>
      <c r="H30" s="22">
        <v>0.79600000000000004</v>
      </c>
      <c r="I30" s="24">
        <v>0.78839999999999999</v>
      </c>
      <c r="J30" s="24">
        <v>0.65339999999999998</v>
      </c>
      <c r="K30" s="24">
        <f>AVERAGE(F30,G30,H29,I30,J30)</f>
        <v>0.69211800000000001</v>
      </c>
      <c r="N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20"/>
  <sheetViews>
    <sheetView workbookViewId="0"/>
  </sheetViews>
  <sheetFormatPr defaultColWidth="12.6640625" defaultRowHeight="15.75" customHeight="1"/>
  <sheetData>
    <row r="1" spans="1:6">
      <c r="B1" s="1" t="s">
        <v>2</v>
      </c>
      <c r="C1" s="1" t="s">
        <v>3</v>
      </c>
      <c r="E1" s="1" t="s">
        <v>10</v>
      </c>
      <c r="F1" s="1" t="s">
        <v>11</v>
      </c>
    </row>
    <row r="2" spans="1:6">
      <c r="A2" s="1" t="s">
        <v>70</v>
      </c>
    </row>
    <row r="3" spans="1:6">
      <c r="A3" s="1" t="s">
        <v>19</v>
      </c>
    </row>
    <row r="4" spans="1:6">
      <c r="A4" s="1" t="s">
        <v>71</v>
      </c>
      <c r="B4" s="1">
        <v>4.9749999999999996</v>
      </c>
      <c r="C4" s="1">
        <v>7.7270000000000003</v>
      </c>
      <c r="E4" s="62">
        <v>0.79700000000000004</v>
      </c>
      <c r="F4" s="63">
        <v>0.67100000000000004</v>
      </c>
    </row>
    <row r="5" spans="1:6">
      <c r="A5" s="1" t="s">
        <v>72</v>
      </c>
      <c r="B5" s="1">
        <v>4.9690000000000003</v>
      </c>
      <c r="C5" s="1">
        <v>7.7169999999999996</v>
      </c>
      <c r="E5" s="1">
        <v>0.79800000000000004</v>
      </c>
      <c r="F5" s="1">
        <v>0.68200000000000005</v>
      </c>
    </row>
    <row r="6" spans="1:6">
      <c r="A6" s="1" t="s">
        <v>73</v>
      </c>
      <c r="B6" s="1">
        <v>4.9669999999999996</v>
      </c>
      <c r="C6" s="1">
        <v>7.7140000000000004</v>
      </c>
      <c r="E6" s="1">
        <v>0.79800000000000004</v>
      </c>
      <c r="F6" s="1">
        <v>0.68500000000000005</v>
      </c>
    </row>
    <row r="7" spans="1:6">
      <c r="A7" s="1" t="s">
        <v>74</v>
      </c>
      <c r="B7" s="1">
        <v>4.9660000000000002</v>
      </c>
      <c r="C7" s="1">
        <v>7.7130000000000001</v>
      </c>
      <c r="E7" s="1">
        <v>0.80100000000000005</v>
      </c>
      <c r="F7" s="1">
        <v>0.68700000000000006</v>
      </c>
    </row>
    <row r="8" spans="1:6">
      <c r="A8" s="1" t="s">
        <v>75</v>
      </c>
      <c r="B8" s="5">
        <v>4.9649999999999999</v>
      </c>
      <c r="C8" s="5">
        <v>7.7110000000000003</v>
      </c>
      <c r="E8" s="5">
        <v>0.80200000000000005</v>
      </c>
      <c r="F8" s="1">
        <v>0.69</v>
      </c>
    </row>
    <row r="9" spans="1:6">
      <c r="A9" s="1" t="s">
        <v>76</v>
      </c>
      <c r="B9" s="1">
        <v>4.9660000000000002</v>
      </c>
      <c r="C9" s="1">
        <v>7.7119999999999997</v>
      </c>
      <c r="E9" s="1">
        <v>0.79900000000000004</v>
      </c>
      <c r="F9" s="5">
        <v>0.69299999999999995</v>
      </c>
    </row>
    <row r="12" spans="1:6">
      <c r="B12" s="1" t="s">
        <v>2</v>
      </c>
      <c r="C12" s="1" t="s">
        <v>3</v>
      </c>
      <c r="E12" s="1" t="s">
        <v>10</v>
      </c>
      <c r="F12" s="1" t="s">
        <v>11</v>
      </c>
    </row>
    <row r="13" spans="1:6">
      <c r="A13" s="1" t="s">
        <v>70</v>
      </c>
    </row>
    <row r="14" spans="1:6">
      <c r="A14" s="1" t="s">
        <v>25</v>
      </c>
    </row>
    <row r="15" spans="1:6">
      <c r="A15" s="1" t="s">
        <v>71</v>
      </c>
      <c r="B15" s="1">
        <v>5.0720000000000001</v>
      </c>
      <c r="C15" s="1">
        <v>7.8540000000000001</v>
      </c>
      <c r="E15" s="1">
        <v>0.79400000000000004</v>
      </c>
      <c r="F15" s="1">
        <v>0.66</v>
      </c>
    </row>
    <row r="16" spans="1:6">
      <c r="A16" s="1" t="s">
        <v>72</v>
      </c>
      <c r="B16" s="1">
        <v>5.0709999999999997</v>
      </c>
      <c r="C16" s="62">
        <v>7.8520000000000003</v>
      </c>
      <c r="E16" s="1">
        <v>0.79400000000000004</v>
      </c>
      <c r="F16" s="1">
        <v>0.66300000000000003</v>
      </c>
    </row>
    <row r="17" spans="1:6">
      <c r="A17" s="1" t="s">
        <v>73</v>
      </c>
      <c r="B17" s="1">
        <v>5.07</v>
      </c>
      <c r="C17" s="62">
        <v>7.85</v>
      </c>
      <c r="E17" s="1">
        <v>0.79500000000000004</v>
      </c>
      <c r="F17" s="1">
        <v>0.66500000000000004</v>
      </c>
    </row>
    <row r="18" spans="1:6">
      <c r="A18" s="1" t="s">
        <v>74</v>
      </c>
      <c r="B18" s="1">
        <v>5.0679999999999996</v>
      </c>
      <c r="C18" s="62">
        <v>7.8479999999999999</v>
      </c>
      <c r="E18" s="1">
        <v>0.79600000000000004</v>
      </c>
      <c r="F18" s="1">
        <v>0.67</v>
      </c>
    </row>
    <row r="19" spans="1:6">
      <c r="A19" s="1" t="s">
        <v>75</v>
      </c>
      <c r="B19" s="1">
        <v>5.0670000000000002</v>
      </c>
      <c r="C19" s="63">
        <v>7.8479999999999999</v>
      </c>
      <c r="E19" s="5">
        <v>0.79900000000000004</v>
      </c>
      <c r="F19" s="5">
        <v>0.67500000000000004</v>
      </c>
    </row>
    <row r="20" spans="1:6">
      <c r="A20" s="1" t="s">
        <v>76</v>
      </c>
      <c r="B20" s="5">
        <v>5.0659999999999998</v>
      </c>
      <c r="C20" s="5">
        <v>7.8470000000000004</v>
      </c>
      <c r="E20" s="1">
        <v>0.79700000000000004</v>
      </c>
      <c r="F20" s="5">
        <v>0.67500000000000004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22"/>
  <sheetViews>
    <sheetView workbookViewId="0"/>
  </sheetViews>
  <sheetFormatPr defaultColWidth="12.6640625" defaultRowHeight="15.75" customHeight="1"/>
  <sheetData>
    <row r="1" spans="1:15">
      <c r="A1" s="7" t="s">
        <v>38</v>
      </c>
      <c r="C1" s="1" t="s">
        <v>2</v>
      </c>
      <c r="D1" s="1" t="s">
        <v>3</v>
      </c>
      <c r="F1" s="1" t="s">
        <v>31</v>
      </c>
      <c r="G1" s="1" t="s">
        <v>32</v>
      </c>
      <c r="H1" s="1" t="s">
        <v>6</v>
      </c>
      <c r="I1" s="1" t="s">
        <v>10</v>
      </c>
      <c r="J1" s="1" t="s">
        <v>11</v>
      </c>
      <c r="K1" s="1" t="s">
        <v>13</v>
      </c>
    </row>
    <row r="2" spans="1:15">
      <c r="A2" s="1" t="s">
        <v>22</v>
      </c>
      <c r="B2" s="25" t="s">
        <v>18</v>
      </c>
      <c r="C2" s="1">
        <v>6.6139999999999999</v>
      </c>
      <c r="D2" s="1">
        <v>10.471</v>
      </c>
      <c r="F2" s="1">
        <v>0.436</v>
      </c>
      <c r="G2" s="1">
        <v>0.77300000000000002</v>
      </c>
      <c r="H2" s="1">
        <v>0.72499999999999998</v>
      </c>
      <c r="I2" s="1">
        <v>0.76700000000000002</v>
      </c>
      <c r="J2" s="1">
        <v>0.68600000000000005</v>
      </c>
      <c r="K2" s="1">
        <f>AVERAGE(F2,G2,H2,I2,J2)</f>
        <v>0.6774</v>
      </c>
    </row>
    <row r="3" spans="1:15">
      <c r="L3" s="11"/>
      <c r="M3" s="11"/>
      <c r="N3" s="32"/>
      <c r="O3" s="11"/>
    </row>
    <row r="4" spans="1:15">
      <c r="A4" s="1" t="s">
        <v>33</v>
      </c>
      <c r="L4" s="13"/>
      <c r="M4" s="13"/>
      <c r="N4" s="32"/>
      <c r="O4" s="13"/>
    </row>
    <row r="5" spans="1:15">
      <c r="A5" s="1" t="s">
        <v>22</v>
      </c>
      <c r="B5" s="25" t="s">
        <v>18</v>
      </c>
      <c r="C5" s="1">
        <v>6.7089999999999996</v>
      </c>
      <c r="D5" s="1">
        <v>11.538</v>
      </c>
      <c r="F5" s="1">
        <v>0.45100000000000001</v>
      </c>
      <c r="G5" s="1">
        <v>0.77900000000000003</v>
      </c>
      <c r="H5" s="1">
        <v>0.80500000000000005</v>
      </c>
      <c r="I5" s="1">
        <v>0.77800000000000002</v>
      </c>
      <c r="J5" s="1">
        <v>0.72899999999999998</v>
      </c>
      <c r="K5" s="1">
        <f>AVERAGE(F5,G5,H5,I5,J5)</f>
        <v>0.70840000000000003</v>
      </c>
    </row>
    <row r="6" spans="1:15">
      <c r="D6" s="5"/>
    </row>
    <row r="9" spans="1:15">
      <c r="B9" s="7"/>
      <c r="C9" s="11"/>
      <c r="D9" s="11"/>
      <c r="E9" s="10"/>
      <c r="F9" s="13"/>
      <c r="G9" s="11"/>
      <c r="H9" s="11"/>
      <c r="I9" s="32"/>
      <c r="J9" s="32"/>
      <c r="K9" s="32"/>
      <c r="L9" s="11"/>
      <c r="M9" s="11"/>
      <c r="N9" s="32"/>
      <c r="O9" s="11"/>
    </row>
    <row r="10" spans="1:15">
      <c r="C10" s="13"/>
      <c r="D10" s="13"/>
      <c r="E10" s="10"/>
      <c r="F10" s="11"/>
      <c r="G10" s="13"/>
      <c r="H10" s="13"/>
      <c r="I10" s="32"/>
      <c r="J10" s="39"/>
      <c r="K10" s="32"/>
      <c r="L10" s="13"/>
      <c r="M10" s="13"/>
      <c r="N10" s="32"/>
      <c r="O10" s="13"/>
    </row>
    <row r="18" spans="1:2">
      <c r="A18" s="7"/>
    </row>
    <row r="19" spans="1:2">
      <c r="B19" s="23"/>
    </row>
    <row r="22" spans="1:2">
      <c r="B22" s="2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26"/>
  <sheetViews>
    <sheetView workbookViewId="0"/>
  </sheetViews>
  <sheetFormatPr defaultColWidth="12.6640625" defaultRowHeight="15.75" customHeight="1"/>
  <cols>
    <col min="2" max="2" width="27.77734375" customWidth="1"/>
  </cols>
  <sheetData>
    <row r="1" spans="1:27">
      <c r="A1" s="1" t="s">
        <v>0</v>
      </c>
      <c r="B1" s="1" t="s">
        <v>1</v>
      </c>
      <c r="I1" s="2"/>
      <c r="J1" s="2"/>
      <c r="K1" s="2"/>
      <c r="N1" s="2"/>
    </row>
    <row r="2" spans="1:27">
      <c r="C2" s="1" t="s">
        <v>2</v>
      </c>
      <c r="D2" s="1" t="s">
        <v>3</v>
      </c>
      <c r="E2" s="1" t="s">
        <v>13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  <c r="O2" s="1" t="s">
        <v>13</v>
      </c>
    </row>
    <row r="3" spans="1:27">
      <c r="B3" s="1" t="s">
        <v>14</v>
      </c>
      <c r="C3" s="1">
        <v>5.4420000000000002</v>
      </c>
      <c r="D3" s="1">
        <v>8.3460000000000001</v>
      </c>
      <c r="E3" s="1">
        <f t="shared" ref="E3:E7" si="0">AVERAGE(C3,D3)</f>
        <v>6.8940000000000001</v>
      </c>
      <c r="F3" s="1">
        <v>0.505</v>
      </c>
      <c r="G3" s="1">
        <v>0.8</v>
      </c>
      <c r="H3" s="1">
        <v>0.81299999999999994</v>
      </c>
      <c r="I3" s="2">
        <v>0.60099999999999998</v>
      </c>
      <c r="J3" s="2">
        <v>0.76</v>
      </c>
      <c r="K3" s="2">
        <v>0.34799999999999998</v>
      </c>
      <c r="L3" s="1">
        <v>0.79600000000000004</v>
      </c>
      <c r="M3" s="1">
        <v>0.69599999999999995</v>
      </c>
      <c r="N3" s="2">
        <v>0.72599999999999998</v>
      </c>
      <c r="O3" s="1">
        <f t="shared" ref="O3:O7" si="1">AVERAGE(F3,G3,H3,L3,M3)</f>
        <v>0.72200000000000009</v>
      </c>
    </row>
    <row r="4" spans="1:27">
      <c r="A4" s="7" t="s">
        <v>38</v>
      </c>
      <c r="B4" s="7" t="s">
        <v>19</v>
      </c>
      <c r="C4" s="1">
        <v>5.91</v>
      </c>
      <c r="D4" s="1">
        <v>9.24</v>
      </c>
      <c r="E4" s="1">
        <f t="shared" si="0"/>
        <v>7.5750000000000002</v>
      </c>
      <c r="F4" s="1">
        <v>0.48799999999999999</v>
      </c>
      <c r="G4" s="1">
        <v>0.78400000000000003</v>
      </c>
      <c r="H4" s="1">
        <v>0.79500000000000004</v>
      </c>
      <c r="I4" s="2">
        <v>0.59099999999999997</v>
      </c>
      <c r="J4" s="2">
        <v>0.747</v>
      </c>
      <c r="K4" s="2">
        <v>0.34599999999999997</v>
      </c>
      <c r="L4" s="1">
        <v>0.79100000000000004</v>
      </c>
      <c r="M4" s="1">
        <v>0.64600000000000002</v>
      </c>
      <c r="N4" s="2">
        <v>0.72699999999999998</v>
      </c>
      <c r="O4" s="1">
        <f t="shared" si="1"/>
        <v>0.70079999999999998</v>
      </c>
    </row>
    <row r="5" spans="1:27">
      <c r="B5" s="1" t="s">
        <v>35</v>
      </c>
      <c r="C5" s="3">
        <v>5.9572000000000003</v>
      </c>
      <c r="D5" s="1">
        <v>9.5846</v>
      </c>
      <c r="E5" s="1">
        <f t="shared" si="0"/>
        <v>7.7709000000000001</v>
      </c>
      <c r="F5" s="1">
        <v>0.4889</v>
      </c>
      <c r="G5" s="1">
        <v>0.79339999999999999</v>
      </c>
      <c r="H5" s="1">
        <v>0.81040000000000001</v>
      </c>
      <c r="I5" s="1">
        <v>0.59499999999999997</v>
      </c>
      <c r="J5" s="1">
        <v>0.73570000000000002</v>
      </c>
      <c r="K5" s="1">
        <v>0.34799999999999998</v>
      </c>
      <c r="L5" s="5">
        <v>0.78400000000000003</v>
      </c>
      <c r="M5" s="1">
        <v>0.628</v>
      </c>
      <c r="N5" s="1">
        <v>0.71109999999999995</v>
      </c>
      <c r="O5" s="1">
        <f t="shared" si="1"/>
        <v>0.7009399999999999</v>
      </c>
    </row>
    <row r="6" spans="1:27">
      <c r="B6" s="1" t="s">
        <v>39</v>
      </c>
      <c r="C6" s="5">
        <v>5.9236000000000004</v>
      </c>
      <c r="D6" s="1">
        <v>9.2523</v>
      </c>
      <c r="E6" s="1">
        <f t="shared" si="0"/>
        <v>7.5879500000000002</v>
      </c>
      <c r="F6" s="5">
        <v>0.5</v>
      </c>
      <c r="G6" s="5">
        <v>0.79400000000000004</v>
      </c>
      <c r="H6" s="5">
        <v>0.81469999999999998</v>
      </c>
      <c r="I6" s="1">
        <v>0.59540000000000004</v>
      </c>
      <c r="J6" s="1">
        <v>0.73499999999999999</v>
      </c>
      <c r="K6" s="1">
        <v>0.34200000000000003</v>
      </c>
      <c r="L6" s="1">
        <v>0.78180000000000005</v>
      </c>
      <c r="M6" s="5">
        <v>0.66790000000000005</v>
      </c>
      <c r="N6" s="1">
        <v>0.71589999999999998</v>
      </c>
      <c r="O6" s="5">
        <f t="shared" si="1"/>
        <v>0.71167999999999998</v>
      </c>
      <c r="P6" s="1" t="s">
        <v>77</v>
      </c>
    </row>
    <row r="7" spans="1:27">
      <c r="B7" s="6" t="s">
        <v>18</v>
      </c>
      <c r="C7" s="1">
        <v>5.9710999999999999</v>
      </c>
      <c r="D7" s="1">
        <v>9.3278999999999996</v>
      </c>
      <c r="E7" s="1">
        <f t="shared" si="0"/>
        <v>7.6494999999999997</v>
      </c>
      <c r="F7" s="1">
        <v>0.49060999999999999</v>
      </c>
      <c r="G7" s="1">
        <v>0.79544999999999999</v>
      </c>
      <c r="H7" s="1">
        <v>0.81315000000000004</v>
      </c>
      <c r="L7" s="1">
        <v>0.7802</v>
      </c>
      <c r="M7" s="1">
        <v>0.63898999999999995</v>
      </c>
      <c r="O7" s="5">
        <f t="shared" si="1"/>
        <v>0.70367999999999997</v>
      </c>
    </row>
    <row r="9" spans="1:27">
      <c r="B9" s="1" t="s">
        <v>78</v>
      </c>
      <c r="C9" s="1">
        <v>4.8449999999999998</v>
      </c>
      <c r="D9" s="1">
        <v>7.5350000000000001</v>
      </c>
      <c r="E9" s="1">
        <f t="shared" ref="E9:E13" si="2">AVERAGE(C9,D9)</f>
        <v>6.1899999999999995</v>
      </c>
      <c r="F9" s="1">
        <v>0.50900000000000001</v>
      </c>
      <c r="G9" s="1">
        <v>0.80200000000000005</v>
      </c>
      <c r="H9" s="1">
        <v>0.83699999999999997</v>
      </c>
      <c r="I9" s="2">
        <v>0.61099999999999999</v>
      </c>
      <c r="J9" s="2">
        <v>0.753</v>
      </c>
      <c r="K9" s="2">
        <v>0.35199999999999998</v>
      </c>
      <c r="L9" s="1">
        <v>0.8</v>
      </c>
      <c r="M9" s="1">
        <v>0.68600000000000005</v>
      </c>
      <c r="N9" s="2">
        <v>0.74299999999999999</v>
      </c>
      <c r="O9" s="1">
        <f t="shared" ref="O9:O13" si="3">AVERAGE(F9,G9,H9,L9,M9)</f>
        <v>0.72679999999999989</v>
      </c>
    </row>
    <row r="10" spans="1:27">
      <c r="A10" s="1" t="s">
        <v>15</v>
      </c>
      <c r="B10" s="1" t="s">
        <v>16</v>
      </c>
      <c r="C10" s="3">
        <v>4.9916999999999998</v>
      </c>
      <c r="D10" s="3">
        <v>7.8047000000000004</v>
      </c>
      <c r="E10" s="1">
        <f t="shared" si="2"/>
        <v>6.3982000000000001</v>
      </c>
      <c r="F10" s="1">
        <v>0.47610000000000002</v>
      </c>
      <c r="G10" s="1">
        <v>0.78749999999999998</v>
      </c>
      <c r="H10" s="1">
        <v>0.82479999999999998</v>
      </c>
      <c r="I10" s="1">
        <v>0.60750000000000004</v>
      </c>
      <c r="J10" s="1">
        <v>0.73719999999999997</v>
      </c>
      <c r="K10" s="1">
        <v>0.35199999999999998</v>
      </c>
      <c r="L10" s="1">
        <v>0.79920000000000002</v>
      </c>
      <c r="M10" s="1">
        <v>0.6643</v>
      </c>
      <c r="N10" s="1">
        <v>0.73319999999999996</v>
      </c>
      <c r="O10" s="1">
        <f t="shared" si="3"/>
        <v>0.71038000000000001</v>
      </c>
    </row>
    <row r="11" spans="1:27">
      <c r="A11" s="64"/>
      <c r="B11" s="64" t="s">
        <v>57</v>
      </c>
      <c r="C11" s="65">
        <v>4.9695999999999998</v>
      </c>
      <c r="D11" s="65">
        <v>7.7840999999999996</v>
      </c>
      <c r="E11" s="66">
        <f t="shared" si="2"/>
        <v>6.3768499999999992</v>
      </c>
      <c r="F11" s="66">
        <v>0.49830000000000002</v>
      </c>
      <c r="G11" s="66">
        <v>0.79420000000000002</v>
      </c>
      <c r="H11" s="66">
        <v>0.83240000000000003</v>
      </c>
      <c r="I11" s="64">
        <v>0.60699999999999998</v>
      </c>
      <c r="J11" s="64">
        <v>0.74019999999999997</v>
      </c>
      <c r="K11" s="64">
        <v>0.35</v>
      </c>
      <c r="L11" s="66">
        <v>0.8014</v>
      </c>
      <c r="M11" s="66">
        <v>0.68230000000000002</v>
      </c>
      <c r="N11" s="64">
        <v>0.73560000000000003</v>
      </c>
      <c r="O11" s="66">
        <f t="shared" si="3"/>
        <v>0.72172000000000014</v>
      </c>
      <c r="P11" s="64"/>
      <c r="Q11" s="64" t="s">
        <v>79</v>
      </c>
      <c r="R11" s="64"/>
      <c r="S11" s="64"/>
      <c r="T11" s="64"/>
      <c r="U11" s="64"/>
      <c r="V11" s="64"/>
      <c r="W11" s="64"/>
      <c r="X11" s="64"/>
      <c r="Y11" s="64"/>
      <c r="Z11" s="64"/>
      <c r="AA11" s="64"/>
    </row>
    <row r="12" spans="1:27">
      <c r="B12" s="1" t="s">
        <v>17</v>
      </c>
      <c r="C12" s="4">
        <v>4.9703999999999997</v>
      </c>
      <c r="D12" s="4">
        <v>7.7167000000000003</v>
      </c>
      <c r="E12" s="5">
        <f t="shared" si="2"/>
        <v>6.3435500000000005</v>
      </c>
      <c r="F12" s="5">
        <v>0.48039999999999999</v>
      </c>
      <c r="G12" s="5">
        <v>0.79339999999999999</v>
      </c>
      <c r="H12" s="1">
        <v>0.82020000000000004</v>
      </c>
      <c r="I12" s="1"/>
      <c r="J12" s="1"/>
      <c r="K12" s="1"/>
      <c r="L12" s="5">
        <v>0.8014</v>
      </c>
      <c r="M12" s="5">
        <v>0.67510000000000003</v>
      </c>
      <c r="N12" s="1"/>
      <c r="O12" s="5">
        <f t="shared" si="3"/>
        <v>0.71410000000000007</v>
      </c>
      <c r="P12" s="1"/>
      <c r="Q12" s="1"/>
    </row>
    <row r="13" spans="1:27">
      <c r="B13" s="21" t="s">
        <v>18</v>
      </c>
      <c r="C13" s="1">
        <v>4.9947999999999997</v>
      </c>
      <c r="D13" s="1">
        <v>7.7380000000000004</v>
      </c>
      <c r="E13" s="5">
        <f t="shared" si="2"/>
        <v>6.3664000000000005</v>
      </c>
      <c r="F13" s="1">
        <v>0.47439999999999999</v>
      </c>
      <c r="G13" s="1">
        <v>0.78871999999999998</v>
      </c>
      <c r="H13" s="5">
        <v>0.82752000000000003</v>
      </c>
      <c r="L13" s="1">
        <v>0.79869000000000001</v>
      </c>
      <c r="M13" s="1">
        <v>0.66064999999999996</v>
      </c>
      <c r="O13" s="5">
        <f t="shared" si="3"/>
        <v>0.70999600000000007</v>
      </c>
    </row>
    <row r="15" spans="1:27">
      <c r="B15" s="1" t="s">
        <v>78</v>
      </c>
      <c r="C15" s="1">
        <v>5.5220000000000002</v>
      </c>
      <c r="D15" s="1">
        <v>8.4090000000000007</v>
      </c>
      <c r="E15" s="1">
        <f t="shared" ref="E15:E19" si="4">AVERAGE(C15,D15)</f>
        <v>6.9655000000000005</v>
      </c>
      <c r="F15" s="1">
        <v>0.52200000000000002</v>
      </c>
      <c r="G15" s="1">
        <v>0.82199999999999995</v>
      </c>
      <c r="H15" s="1">
        <v>0.83</v>
      </c>
      <c r="I15" s="2">
        <v>0.60699999999999998</v>
      </c>
      <c r="J15" s="2">
        <v>0.751</v>
      </c>
      <c r="K15" s="2">
        <v>0.34</v>
      </c>
      <c r="L15" s="1">
        <v>0.79100000000000004</v>
      </c>
      <c r="M15" s="1">
        <v>0.71099999999999997</v>
      </c>
      <c r="N15" s="2">
        <v>0.746</v>
      </c>
      <c r="O15" s="1">
        <f>AVERAGE(F15,G15,H15,L15,M15)</f>
        <v>0.73519999999999996</v>
      </c>
    </row>
    <row r="16" spans="1:27">
      <c r="A16" s="7" t="s">
        <v>27</v>
      </c>
      <c r="B16" s="1" t="s">
        <v>16</v>
      </c>
      <c r="C16" s="3">
        <v>6.0247999999999999</v>
      </c>
      <c r="D16" s="3">
        <v>9.4397000000000002</v>
      </c>
      <c r="E16" s="1">
        <f t="shared" si="4"/>
        <v>7.7322500000000005</v>
      </c>
      <c r="F16" s="1">
        <v>0.48975999999999997</v>
      </c>
      <c r="G16" s="1">
        <v>0.80640000000000001</v>
      </c>
      <c r="H16" s="1">
        <v>0.81896000000000002</v>
      </c>
      <c r="L16" s="1">
        <v>0.78346000000000005</v>
      </c>
      <c r="M16" s="1">
        <v>0.67508999999999997</v>
      </c>
      <c r="O16" s="1">
        <v>0.71472999999999998</v>
      </c>
    </row>
    <row r="17" spans="1:27">
      <c r="A17" s="64"/>
      <c r="B17" s="64" t="s">
        <v>57</v>
      </c>
      <c r="C17" s="67">
        <v>5.9663000000000004</v>
      </c>
      <c r="D17" s="67">
        <v>9.3632000000000009</v>
      </c>
      <c r="E17" s="64">
        <f t="shared" si="4"/>
        <v>7.6647500000000006</v>
      </c>
      <c r="F17" s="64">
        <v>0.5</v>
      </c>
      <c r="G17" s="64">
        <v>0.80681999999999998</v>
      </c>
      <c r="H17" s="64">
        <v>0.81315000000000004</v>
      </c>
      <c r="I17" s="64"/>
      <c r="J17" s="64"/>
      <c r="K17" s="64"/>
      <c r="L17" s="64">
        <v>0.78671999999999997</v>
      </c>
      <c r="M17" s="64">
        <v>0.68230999999999997</v>
      </c>
      <c r="N17" s="64"/>
      <c r="O17" s="64">
        <v>0.71779999999999999</v>
      </c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</row>
    <row r="18" spans="1:27">
      <c r="B18" s="1" t="s">
        <v>28</v>
      </c>
      <c r="C18" s="5">
        <v>5.9726999999999997</v>
      </c>
      <c r="D18" s="5">
        <v>9.3691999999999993</v>
      </c>
      <c r="E18" s="5">
        <f t="shared" si="4"/>
        <v>7.6709499999999995</v>
      </c>
      <c r="F18" s="5">
        <v>0.50512000000000001</v>
      </c>
      <c r="G18" s="5">
        <v>0.80681999999999998</v>
      </c>
      <c r="H18" s="1">
        <v>0.81284000000000001</v>
      </c>
      <c r="L18" s="5">
        <v>0.78671999999999997</v>
      </c>
      <c r="M18" s="5">
        <v>0.69313999999999998</v>
      </c>
      <c r="O18" s="5">
        <f t="shared" ref="O18:O19" si="5">AVERAGE(F18,G18,H18,L18,M18)</f>
        <v>0.72092800000000001</v>
      </c>
      <c r="P18" s="1" t="s">
        <v>77</v>
      </c>
      <c r="Q18" s="1" t="s">
        <v>80</v>
      </c>
    </row>
    <row r="19" spans="1:27">
      <c r="B19" s="6" t="s">
        <v>18</v>
      </c>
      <c r="C19" s="1">
        <v>6.0815000000000001</v>
      </c>
      <c r="D19" s="1">
        <v>9.6308000000000007</v>
      </c>
      <c r="E19" s="1">
        <f t="shared" si="4"/>
        <v>7.8561500000000004</v>
      </c>
      <c r="F19" s="1">
        <v>0.487201</v>
      </c>
      <c r="G19" s="1">
        <v>0.80089999999999995</v>
      </c>
      <c r="H19" s="5">
        <v>0.82750000000000001</v>
      </c>
      <c r="L19" s="1">
        <v>0.78449999999999998</v>
      </c>
      <c r="M19" s="1">
        <v>0.67149999999999999</v>
      </c>
      <c r="O19" s="5">
        <f t="shared" si="5"/>
        <v>0.71432019999999996</v>
      </c>
      <c r="Q19" s="1" t="s">
        <v>81</v>
      </c>
    </row>
    <row r="22" spans="1:27">
      <c r="B22" s="1" t="s">
        <v>78</v>
      </c>
      <c r="C22" s="1">
        <v>6.0838999999999999</v>
      </c>
      <c r="D22" s="1">
        <v>10.816599999999999</v>
      </c>
      <c r="E22" s="1">
        <f t="shared" ref="E22:E26" si="6">AVERAGE(C22,D22)</f>
        <v>8.4502500000000005</v>
      </c>
      <c r="F22" s="1">
        <v>0.47699999999999998</v>
      </c>
      <c r="G22" s="1">
        <v>0.80400000000000005</v>
      </c>
      <c r="H22" s="1">
        <v>0.84599999999999997</v>
      </c>
      <c r="I22" s="2">
        <v>0.6</v>
      </c>
      <c r="J22" s="2">
        <v>0.71899999999999997</v>
      </c>
      <c r="K22" s="2">
        <v>0.33200000000000002</v>
      </c>
      <c r="L22" s="1">
        <v>0.78700000000000003</v>
      </c>
      <c r="M22" s="1">
        <v>0.81499999999999995</v>
      </c>
      <c r="N22" s="2">
        <v>0.73</v>
      </c>
      <c r="O22" s="1">
        <f>AVERAGE(F22,G22,H22,L22,M22)</f>
        <v>0.74580000000000002</v>
      </c>
    </row>
    <row r="23" spans="1:27">
      <c r="A23" s="7" t="s">
        <v>33</v>
      </c>
      <c r="B23" s="1" t="s">
        <v>16</v>
      </c>
      <c r="C23" s="3">
        <v>6.3893000000000004</v>
      </c>
      <c r="D23" s="3">
        <v>11.296099999999999</v>
      </c>
      <c r="E23" s="1">
        <f t="shared" si="6"/>
        <v>8.8427000000000007</v>
      </c>
      <c r="F23" s="1">
        <v>0.47423999999999999</v>
      </c>
      <c r="G23" s="5">
        <v>0.80386999999999997</v>
      </c>
      <c r="H23" s="1">
        <v>0.83547000000000005</v>
      </c>
      <c r="L23" s="1">
        <v>0.78510000000000002</v>
      </c>
      <c r="M23" s="1">
        <v>0.81227000000000005</v>
      </c>
      <c r="O23" s="1">
        <v>0.74272000000000005</v>
      </c>
    </row>
    <row r="24" spans="1:27">
      <c r="A24" s="64"/>
      <c r="B24" s="64" t="s">
        <v>57</v>
      </c>
      <c r="C24" s="67">
        <v>6.3445999999999998</v>
      </c>
      <c r="D24" s="67">
        <v>11.1867</v>
      </c>
      <c r="E24" s="64">
        <f t="shared" si="6"/>
        <v>8.7656500000000008</v>
      </c>
      <c r="F24" s="66">
        <v>0.47526000000000002</v>
      </c>
      <c r="G24" s="64">
        <v>0.79251000000000005</v>
      </c>
      <c r="H24" s="66">
        <v>0.83731</v>
      </c>
      <c r="I24" s="64"/>
      <c r="J24" s="64"/>
      <c r="K24" s="64"/>
      <c r="L24" s="64">
        <v>0.78459999999999996</v>
      </c>
      <c r="M24" s="64">
        <v>0.82670999999999994</v>
      </c>
      <c r="N24" s="64"/>
      <c r="O24" s="66">
        <f>AVERAGE(F24,G24,H24,L24,M24)</f>
        <v>0.74327799999999999</v>
      </c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</row>
    <row r="25" spans="1:27">
      <c r="B25" s="1" t="s">
        <v>34</v>
      </c>
      <c r="C25" s="5">
        <v>6.3422999999999998</v>
      </c>
      <c r="D25" s="5">
        <v>11.187099999999999</v>
      </c>
      <c r="E25" s="5">
        <f t="shared" si="6"/>
        <v>8.7646999999999995</v>
      </c>
      <c r="F25" s="5">
        <v>0.47526000000000002</v>
      </c>
      <c r="G25" s="1">
        <v>0.79669999999999996</v>
      </c>
      <c r="H25" s="5">
        <v>0.83789999999999998</v>
      </c>
      <c r="L25" s="5">
        <v>0.78671999999999997</v>
      </c>
      <c r="M25" s="5">
        <v>0.82669999999999999</v>
      </c>
      <c r="O25" s="1">
        <f>AVERAGE(F25,G25,H25,L23,M25)</f>
        <v>0.74433199999999999</v>
      </c>
      <c r="Q25" s="1" t="s">
        <v>81</v>
      </c>
    </row>
    <row r="26" spans="1:27">
      <c r="B26" s="6" t="s">
        <v>18</v>
      </c>
      <c r="C26" s="1">
        <v>6.3404999999999996</v>
      </c>
      <c r="D26" s="1">
        <v>11.200799999999999</v>
      </c>
      <c r="E26" s="1">
        <f t="shared" si="6"/>
        <v>8.7706499999999998</v>
      </c>
      <c r="F26" s="1">
        <v>0.46501999999999999</v>
      </c>
      <c r="G26" s="1">
        <v>0.79376999999999998</v>
      </c>
      <c r="H26" s="1">
        <v>0.83211000000000002</v>
      </c>
      <c r="L26" s="1">
        <v>0.78400000000000003</v>
      </c>
      <c r="M26" s="1">
        <v>0.83394000000000001</v>
      </c>
      <c r="O26" s="1">
        <f>AVERAGE(F26,G26,H26,L26,M26)</f>
        <v>0.74176800000000009</v>
      </c>
      <c r="Q2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A28"/>
  <sheetViews>
    <sheetView workbookViewId="0"/>
  </sheetViews>
  <sheetFormatPr defaultColWidth="12.6640625" defaultRowHeight="15.75" customHeight="1"/>
  <cols>
    <col min="2" max="2" width="27.77734375" customWidth="1"/>
  </cols>
  <sheetData>
    <row r="1" spans="1:27">
      <c r="A1" s="1" t="s">
        <v>0</v>
      </c>
      <c r="B1" s="1" t="s">
        <v>1</v>
      </c>
      <c r="I1" s="2"/>
      <c r="J1" s="2"/>
      <c r="K1" s="2"/>
      <c r="N1" s="2"/>
    </row>
    <row r="2" spans="1:27">
      <c r="C2" s="1" t="s">
        <v>2</v>
      </c>
      <c r="D2" s="1" t="s">
        <v>3</v>
      </c>
      <c r="E2" s="1" t="s">
        <v>13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  <c r="O2" s="1" t="s">
        <v>13</v>
      </c>
    </row>
    <row r="3" spans="1:27">
      <c r="B3" s="1" t="s">
        <v>14</v>
      </c>
      <c r="C3" s="1">
        <v>5.4420000000000002</v>
      </c>
      <c r="D3" s="1">
        <v>8.3460000000000001</v>
      </c>
      <c r="E3" s="1">
        <f t="shared" ref="E3:E6" si="0">AVERAGE(C3:D3)</f>
        <v>6.8940000000000001</v>
      </c>
      <c r="F3" s="1">
        <v>0.505</v>
      </c>
      <c r="G3" s="1">
        <v>0.8</v>
      </c>
      <c r="H3" s="1">
        <v>0.81299999999999994</v>
      </c>
      <c r="I3" s="2">
        <v>0.60099999999999998</v>
      </c>
      <c r="J3" s="2">
        <v>0.76</v>
      </c>
      <c r="K3" s="2">
        <v>0.34799999999999998</v>
      </c>
      <c r="L3" s="1">
        <v>0.79600000000000004</v>
      </c>
      <c r="M3" s="1">
        <v>0.69599999999999995</v>
      </c>
      <c r="N3" s="2">
        <v>0.72599999999999998</v>
      </c>
      <c r="O3" s="1">
        <f t="shared" ref="O3:O6" si="1">AVERAGE(F3,G3,H3,L3,M3)</f>
        <v>0.72200000000000009</v>
      </c>
    </row>
    <row r="4" spans="1:27">
      <c r="A4" s="7" t="s">
        <v>38</v>
      </c>
      <c r="B4" s="1" t="s">
        <v>55</v>
      </c>
      <c r="C4" s="3">
        <v>10.9466</v>
      </c>
      <c r="D4" s="1">
        <v>18.0442</v>
      </c>
      <c r="E4" s="1">
        <f t="shared" si="0"/>
        <v>14.4954</v>
      </c>
      <c r="F4" s="1">
        <v>0.38569999999999999</v>
      </c>
      <c r="G4" s="1">
        <v>0.64900000000000002</v>
      </c>
      <c r="H4" s="5">
        <v>0.71740000000000004</v>
      </c>
      <c r="I4" s="1">
        <v>0.51480000000000004</v>
      </c>
      <c r="J4" s="5">
        <v>0.66500000000000004</v>
      </c>
      <c r="K4" s="1">
        <v>0.29799999999999999</v>
      </c>
      <c r="L4" s="1">
        <v>0.74319999999999997</v>
      </c>
      <c r="M4" s="5">
        <v>0.58840000000000003</v>
      </c>
      <c r="N4" s="2">
        <v>0.67959999999999998</v>
      </c>
      <c r="O4" s="1">
        <f t="shared" si="1"/>
        <v>0.61673999999999995</v>
      </c>
    </row>
    <row r="5" spans="1:27">
      <c r="B5" s="1" t="s">
        <v>58</v>
      </c>
      <c r="C5" s="3">
        <v>9.1052</v>
      </c>
      <c r="D5" s="3">
        <v>15.250999999999999</v>
      </c>
      <c r="E5" s="5">
        <f t="shared" si="0"/>
        <v>12.178100000000001</v>
      </c>
      <c r="F5" s="5">
        <v>0.40560000000000002</v>
      </c>
      <c r="G5" s="5">
        <v>0.67020000000000002</v>
      </c>
      <c r="H5" s="1">
        <v>0.70650000000000002</v>
      </c>
      <c r="I5" s="5"/>
      <c r="J5" s="1"/>
      <c r="K5" s="5"/>
      <c r="L5" s="5">
        <v>0.75080000000000002</v>
      </c>
      <c r="M5" s="5">
        <v>0.61099999999999999</v>
      </c>
      <c r="N5" s="5"/>
      <c r="O5" s="5">
        <f t="shared" si="1"/>
        <v>0.62881999999999993</v>
      </c>
      <c r="P5" s="1" t="s">
        <v>77</v>
      </c>
      <c r="Q5" s="1"/>
      <c r="R5" s="1"/>
    </row>
    <row r="6" spans="1:27">
      <c r="B6" s="6" t="s">
        <v>18</v>
      </c>
      <c r="C6" s="1">
        <v>10.501799999999999</v>
      </c>
      <c r="D6" s="1">
        <v>17.7424</v>
      </c>
      <c r="E6" s="1">
        <f t="shared" si="0"/>
        <v>14.1221</v>
      </c>
      <c r="F6" s="1">
        <v>0.34898000000000001</v>
      </c>
      <c r="G6" s="1">
        <v>0.64898999999999996</v>
      </c>
      <c r="H6" s="1">
        <v>0.68837999999999999</v>
      </c>
      <c r="L6" s="1">
        <v>0.71382000000000001</v>
      </c>
      <c r="M6" s="1">
        <v>0.55957000000000001</v>
      </c>
      <c r="O6" s="1">
        <f t="shared" si="1"/>
        <v>0.59194800000000003</v>
      </c>
    </row>
    <row r="9" spans="1:27">
      <c r="B9" s="1" t="s">
        <v>78</v>
      </c>
      <c r="C9" s="1">
        <v>4.8449999999999998</v>
      </c>
      <c r="D9" s="1">
        <v>7.5350000000000001</v>
      </c>
      <c r="E9" s="1">
        <f t="shared" ref="E9:E13" si="2">AVERAGE(C9:D9)</f>
        <v>6.1899999999999995</v>
      </c>
      <c r="F9" s="1">
        <v>0.50900000000000001</v>
      </c>
      <c r="G9" s="1">
        <v>0.80200000000000005</v>
      </c>
      <c r="H9" s="1">
        <v>0.83699999999999997</v>
      </c>
      <c r="I9" s="2">
        <v>0.61099999999999999</v>
      </c>
      <c r="J9" s="2">
        <v>0.753</v>
      </c>
      <c r="K9" s="2">
        <v>0.35199999999999998</v>
      </c>
      <c r="L9" s="1">
        <v>0.8</v>
      </c>
      <c r="M9" s="1">
        <v>0.68600000000000005</v>
      </c>
      <c r="N9" s="2">
        <v>0.74299999999999999</v>
      </c>
      <c r="O9" s="1">
        <f>AVERAGE(F9,G9,H9,L9,M9)</f>
        <v>0.72679999999999989</v>
      </c>
    </row>
    <row r="10" spans="1:27">
      <c r="A10" s="1" t="s">
        <v>15</v>
      </c>
      <c r="B10" s="1" t="s">
        <v>16</v>
      </c>
      <c r="C10" s="3">
        <v>5.5590999999999999</v>
      </c>
      <c r="D10" s="1">
        <v>8.6096000000000004</v>
      </c>
      <c r="E10" s="1">
        <f t="shared" si="2"/>
        <v>7.0843500000000006</v>
      </c>
      <c r="F10" s="1">
        <v>0.44880999999999999</v>
      </c>
      <c r="G10" s="1">
        <v>0.76431000000000004</v>
      </c>
      <c r="H10" s="1">
        <v>0.79847000000000001</v>
      </c>
      <c r="L10" s="1">
        <v>0.78781000000000001</v>
      </c>
      <c r="M10" s="1">
        <v>0.63898999999999995</v>
      </c>
      <c r="N10" s="1">
        <v>0.73319999999999996</v>
      </c>
      <c r="O10" s="1">
        <f>AVERAGE(F10,G10,H11,L10,M10)</f>
        <v>0.68688400000000005</v>
      </c>
      <c r="Q10" s="1" t="s">
        <v>82</v>
      </c>
    </row>
    <row r="11" spans="1:27">
      <c r="A11" s="68"/>
      <c r="B11" s="68" t="s">
        <v>57</v>
      </c>
      <c r="C11" s="69">
        <v>5.5080999999999998</v>
      </c>
      <c r="D11" s="69">
        <v>8.4699000000000009</v>
      </c>
      <c r="E11" s="70">
        <f t="shared" si="2"/>
        <v>6.9890000000000008</v>
      </c>
      <c r="F11" s="70">
        <v>0.45391999999999999</v>
      </c>
      <c r="G11" s="68">
        <v>0.76136000000000004</v>
      </c>
      <c r="H11" s="68">
        <v>0.79449999999999998</v>
      </c>
      <c r="I11" s="68"/>
      <c r="J11" s="68"/>
      <c r="K11" s="68"/>
      <c r="L11" s="70">
        <v>0.8014</v>
      </c>
      <c r="M11" s="70">
        <v>0.68230000000000002</v>
      </c>
      <c r="N11" s="68">
        <v>0.73560000000000003</v>
      </c>
      <c r="O11" s="70">
        <f t="shared" ref="O11:O13" si="3">AVERAGE(F11,G11,H10,L11,M11)</f>
        <v>0.69949000000000006</v>
      </c>
      <c r="P11" s="68" t="s">
        <v>83</v>
      </c>
      <c r="Q11" s="68" t="s">
        <v>84</v>
      </c>
      <c r="R11" s="68" t="s">
        <v>85</v>
      </c>
      <c r="S11" s="68"/>
      <c r="T11" s="68"/>
      <c r="U11" s="68"/>
      <c r="V11" s="68"/>
      <c r="W11" s="68"/>
      <c r="X11" s="68"/>
      <c r="Y11" s="68"/>
      <c r="Z11" s="68"/>
      <c r="AA11" s="68"/>
    </row>
    <row r="12" spans="1:27">
      <c r="B12" s="1" t="s">
        <v>51</v>
      </c>
      <c r="C12" s="4">
        <v>5.5301999999999998</v>
      </c>
      <c r="D12" s="4">
        <v>8.4910999999999994</v>
      </c>
      <c r="E12" s="5">
        <f t="shared" si="2"/>
        <v>7.01065</v>
      </c>
      <c r="F12" s="5">
        <v>0.45391999999999999</v>
      </c>
      <c r="G12" s="5">
        <v>0.76639999999999997</v>
      </c>
      <c r="H12" s="1">
        <v>0.79600000000000004</v>
      </c>
      <c r="L12" s="5">
        <v>0.78839999999999999</v>
      </c>
      <c r="M12" s="5">
        <v>0.65339999999999998</v>
      </c>
      <c r="N12" s="1"/>
      <c r="O12" s="5">
        <f t="shared" si="3"/>
        <v>0.69132400000000005</v>
      </c>
      <c r="P12" s="1"/>
      <c r="Q12" s="1"/>
      <c r="R12" s="1"/>
    </row>
    <row r="13" spans="1:27">
      <c r="B13" s="21" t="s">
        <v>18</v>
      </c>
      <c r="C13" s="1">
        <v>5.5616000000000003</v>
      </c>
      <c r="D13" s="1">
        <v>8.6135000000000002</v>
      </c>
      <c r="E13" s="1">
        <f t="shared" si="2"/>
        <v>7.0875500000000002</v>
      </c>
      <c r="F13" s="1">
        <v>0.45136999999999999</v>
      </c>
      <c r="G13" s="1">
        <v>0.76556999999999997</v>
      </c>
      <c r="H13" s="5">
        <v>0.80611999999999995</v>
      </c>
      <c r="L13" s="1">
        <v>0.78835999999999995</v>
      </c>
      <c r="M13" s="1">
        <v>0.64065000000000005</v>
      </c>
      <c r="O13" s="5">
        <f t="shared" si="3"/>
        <v>0.68838999999999995</v>
      </c>
    </row>
    <row r="15" spans="1:27">
      <c r="B15" s="1" t="s">
        <v>78</v>
      </c>
      <c r="C15" s="1">
        <v>5.5220000000000002</v>
      </c>
      <c r="D15" s="1">
        <v>8.4090000000000007</v>
      </c>
      <c r="E15" s="1">
        <f t="shared" ref="E15:E17" si="4">AVERAGE(C15:D15)</f>
        <v>6.9655000000000005</v>
      </c>
      <c r="F15" s="1">
        <v>0.52200000000000002</v>
      </c>
      <c r="G15" s="1">
        <v>0.82199999999999995</v>
      </c>
      <c r="H15" s="1">
        <v>0.83</v>
      </c>
      <c r="I15" s="2">
        <v>0.60699999999999998</v>
      </c>
      <c r="J15" s="2">
        <v>0.751</v>
      </c>
      <c r="K15" s="2">
        <v>0.34</v>
      </c>
      <c r="L15" s="1">
        <v>0.79100000000000004</v>
      </c>
      <c r="M15" s="1">
        <v>0.71099999999999997</v>
      </c>
      <c r="N15" s="2">
        <v>0.746</v>
      </c>
      <c r="O15" s="1">
        <f t="shared" ref="O15:O17" si="5">AVERAGE(F15,G15,H15,L15,M15)</f>
        <v>0.73519999999999996</v>
      </c>
    </row>
    <row r="16" spans="1:27">
      <c r="A16" s="7" t="s">
        <v>27</v>
      </c>
      <c r="B16" s="1" t="s">
        <v>16</v>
      </c>
      <c r="C16" s="3">
        <v>9.8192000000000004</v>
      </c>
      <c r="D16" s="3">
        <v>16.0806</v>
      </c>
      <c r="E16" s="1">
        <f t="shared" si="4"/>
        <v>12.9499</v>
      </c>
      <c r="F16" s="1">
        <v>0.39932000000000001</v>
      </c>
      <c r="G16" s="1">
        <v>0.70623000000000002</v>
      </c>
      <c r="H16" s="5">
        <v>0.69847000000000004</v>
      </c>
      <c r="L16" s="1">
        <v>0.74265999999999999</v>
      </c>
      <c r="M16" s="1">
        <v>0.58123000000000002</v>
      </c>
      <c r="O16" s="1">
        <f t="shared" si="5"/>
        <v>0.62558199999999997</v>
      </c>
    </row>
    <row r="17" spans="1:27">
      <c r="A17" s="64"/>
      <c r="B17" s="64" t="s">
        <v>57</v>
      </c>
      <c r="C17" s="65">
        <v>8.625</v>
      </c>
      <c r="D17" s="65">
        <v>13.9666</v>
      </c>
      <c r="E17" s="66">
        <f t="shared" si="4"/>
        <v>11.2958</v>
      </c>
      <c r="F17" s="66">
        <v>0.40528999999999998</v>
      </c>
      <c r="G17" s="66">
        <v>0.72726999999999997</v>
      </c>
      <c r="H17" s="64">
        <v>0.69327000000000005</v>
      </c>
      <c r="I17" s="64"/>
      <c r="J17" s="64"/>
      <c r="K17" s="64"/>
      <c r="L17" s="66">
        <v>0.75788999999999995</v>
      </c>
      <c r="M17" s="66">
        <v>0.59567000000000003</v>
      </c>
      <c r="N17" s="64"/>
      <c r="O17" s="66">
        <f t="shared" si="5"/>
        <v>0.63587800000000005</v>
      </c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</row>
    <row r="18" spans="1:27">
      <c r="B18" s="5" t="s">
        <v>56</v>
      </c>
      <c r="C18" s="3">
        <v>8.7308000000000003</v>
      </c>
      <c r="D18" s="3">
        <v>14.167999999999999</v>
      </c>
      <c r="E18" s="5"/>
      <c r="F18" s="5">
        <v>0.40955599999999998</v>
      </c>
      <c r="G18" s="5">
        <v>0.72853500000000004</v>
      </c>
      <c r="H18" s="1">
        <v>0.69388399999999995</v>
      </c>
      <c r="L18" s="5">
        <v>0.75625699999999996</v>
      </c>
      <c r="M18" s="5">
        <v>0.61010799999999998</v>
      </c>
      <c r="O18" s="5">
        <v>0.63966800000000001</v>
      </c>
      <c r="P18" s="1" t="s">
        <v>83</v>
      </c>
      <c r="Q18" s="1" t="s">
        <v>86</v>
      </c>
    </row>
    <row r="19" spans="1:27">
      <c r="B19" s="6" t="s">
        <v>18</v>
      </c>
      <c r="C19" s="1">
        <v>10.132099999999999</v>
      </c>
      <c r="D19" s="1">
        <v>16.993600000000001</v>
      </c>
      <c r="F19" s="1">
        <v>0.35921500000000001</v>
      </c>
      <c r="G19" s="1">
        <v>0.67508400000000002</v>
      </c>
      <c r="H19" s="1">
        <v>0.64678899999999995</v>
      </c>
      <c r="L19" s="1">
        <v>0.73394999999999999</v>
      </c>
      <c r="M19" s="1">
        <v>0.56678700000000004</v>
      </c>
      <c r="O19" s="5">
        <f>AVERAGE(F19,G19,H19,L19,M19)</f>
        <v>0.59636500000000003</v>
      </c>
    </row>
    <row r="20" spans="1:27">
      <c r="O20" s="5"/>
    </row>
    <row r="21" spans="1:27">
      <c r="B21" s="1" t="s">
        <v>78</v>
      </c>
      <c r="C21" s="1">
        <v>6.0838999999999999</v>
      </c>
      <c r="D21" s="1">
        <v>10.816599999999999</v>
      </c>
      <c r="E21" s="1">
        <f t="shared" ref="E21:E24" si="6">AVERAGE(C21:D21)</f>
        <v>8.4502500000000005</v>
      </c>
      <c r="F21" s="1">
        <v>0.47699999999999998</v>
      </c>
      <c r="G21" s="1">
        <v>0.80400000000000005</v>
      </c>
      <c r="H21" s="1">
        <v>0.84599999999999997</v>
      </c>
      <c r="I21" s="2">
        <v>0.6</v>
      </c>
      <c r="J21" s="2">
        <v>0.71899999999999997</v>
      </c>
      <c r="K21" s="2">
        <v>0.33200000000000002</v>
      </c>
      <c r="L21" s="1">
        <v>0.78700000000000003</v>
      </c>
      <c r="M21" s="1">
        <v>0.81499999999999995</v>
      </c>
      <c r="N21" s="2">
        <v>0.73</v>
      </c>
      <c r="O21" s="1">
        <f t="shared" ref="O21:O24" si="7">AVERAGE(F21,G21,H21,L21,M21)</f>
        <v>0.74580000000000002</v>
      </c>
    </row>
    <row r="22" spans="1:27">
      <c r="A22" s="7" t="s">
        <v>33</v>
      </c>
      <c r="B22" s="1" t="s">
        <v>16</v>
      </c>
      <c r="C22" s="3">
        <v>10.7928</v>
      </c>
      <c r="D22" s="3">
        <v>17.638300000000001</v>
      </c>
      <c r="E22" s="1">
        <f t="shared" si="6"/>
        <v>14.21555</v>
      </c>
      <c r="F22" s="1">
        <v>0.39761000000000002</v>
      </c>
      <c r="G22" s="1">
        <v>0.70118000000000003</v>
      </c>
      <c r="H22" s="1">
        <v>0.74709000000000003</v>
      </c>
      <c r="L22" s="1">
        <v>0.74592000000000003</v>
      </c>
      <c r="M22" s="1">
        <v>0.77256000000000002</v>
      </c>
      <c r="O22" s="1">
        <f t="shared" si="7"/>
        <v>0.67287200000000003</v>
      </c>
    </row>
    <row r="23" spans="1:27">
      <c r="B23" s="1" t="s">
        <v>57</v>
      </c>
      <c r="C23" s="4">
        <v>8.9704999999999995</v>
      </c>
      <c r="D23" s="4">
        <v>15.2369</v>
      </c>
      <c r="E23" s="5">
        <f t="shared" si="6"/>
        <v>12.1037</v>
      </c>
      <c r="F23" s="5">
        <v>0.41724</v>
      </c>
      <c r="G23" s="5">
        <v>0.72643000000000002</v>
      </c>
      <c r="H23" s="5">
        <v>0.76758000000000004</v>
      </c>
      <c r="L23" s="5">
        <v>0.76278999999999997</v>
      </c>
      <c r="M23" s="5">
        <v>0.77617000000000003</v>
      </c>
      <c r="O23" s="5">
        <f t="shared" si="7"/>
        <v>0.69004199999999993</v>
      </c>
      <c r="Q23" s="1" t="s">
        <v>87</v>
      </c>
    </row>
    <row r="24" spans="1:27">
      <c r="B24" s="6" t="s">
        <v>18</v>
      </c>
      <c r="C24" s="1">
        <v>10.6686</v>
      </c>
      <c r="D24" s="1">
        <v>17.586600000000001</v>
      </c>
      <c r="E24" s="1">
        <f t="shared" si="6"/>
        <v>14.127600000000001</v>
      </c>
      <c r="F24" s="1">
        <v>0.39250000000000002</v>
      </c>
      <c r="G24" s="1">
        <v>0.70079999999999998</v>
      </c>
      <c r="H24" s="1">
        <v>0.75290000000000001</v>
      </c>
      <c r="L24" s="1">
        <v>0.74650000000000005</v>
      </c>
      <c r="M24" s="1">
        <v>0.76170000000000004</v>
      </c>
      <c r="O24" s="1">
        <f t="shared" si="7"/>
        <v>0.67088000000000003</v>
      </c>
    </row>
    <row r="28" spans="1:27">
      <c r="C28" s="4"/>
      <c r="D28" s="4"/>
      <c r="O28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36"/>
  <sheetViews>
    <sheetView workbookViewId="0"/>
  </sheetViews>
  <sheetFormatPr defaultColWidth="12.6640625" defaultRowHeight="15.75" customHeight="1"/>
  <sheetData>
    <row r="1" spans="1:18">
      <c r="A1" s="71" t="s">
        <v>88</v>
      </c>
      <c r="B1" s="71" t="s">
        <v>1</v>
      </c>
      <c r="C1" s="10"/>
      <c r="D1" s="10"/>
      <c r="E1" s="10"/>
      <c r="F1" s="10"/>
      <c r="G1" s="10"/>
      <c r="H1" s="10"/>
      <c r="I1" s="40"/>
      <c r="J1" s="10"/>
      <c r="K1" s="10"/>
      <c r="L1" s="10"/>
      <c r="M1" s="10"/>
      <c r="N1" s="10"/>
      <c r="O1" s="10"/>
      <c r="P1" s="10"/>
      <c r="Q1" s="10"/>
      <c r="R1" s="10"/>
    </row>
    <row r="2" spans="1:18">
      <c r="A2" s="10"/>
      <c r="B2" s="10"/>
      <c r="C2" s="71" t="s">
        <v>2</v>
      </c>
      <c r="D2" s="71" t="s">
        <v>3</v>
      </c>
      <c r="E2" s="10"/>
      <c r="F2" s="71" t="s">
        <v>4</v>
      </c>
      <c r="G2" s="71" t="s">
        <v>5</v>
      </c>
      <c r="H2" s="71" t="s">
        <v>6</v>
      </c>
      <c r="I2" s="40"/>
      <c r="J2" s="71" t="s">
        <v>10</v>
      </c>
      <c r="K2" s="71" t="s">
        <v>11</v>
      </c>
      <c r="L2" s="71" t="s">
        <v>13</v>
      </c>
      <c r="M2" s="10"/>
      <c r="N2" s="72" t="s">
        <v>89</v>
      </c>
      <c r="O2" s="72" t="s">
        <v>90</v>
      </c>
      <c r="P2" s="72" t="s">
        <v>91</v>
      </c>
      <c r="Q2" s="72" t="s">
        <v>92</v>
      </c>
      <c r="R2" s="72" t="s">
        <v>93</v>
      </c>
    </row>
    <row r="3" spans="1:18">
      <c r="A3" s="71" t="s">
        <v>94</v>
      </c>
      <c r="B3" s="71" t="s">
        <v>95</v>
      </c>
      <c r="C3" s="73">
        <v>6.0250000000000004</v>
      </c>
      <c r="D3" s="73">
        <v>9.44</v>
      </c>
      <c r="E3" s="10"/>
      <c r="F3" s="73">
        <v>0.49</v>
      </c>
      <c r="G3" s="73">
        <v>0.80600000000000005</v>
      </c>
      <c r="H3" s="73">
        <v>0.81899999999999995</v>
      </c>
      <c r="I3" s="10"/>
      <c r="J3" s="73">
        <v>0.78300000000000003</v>
      </c>
      <c r="K3" s="73">
        <v>0.67500000000000004</v>
      </c>
      <c r="L3" s="73">
        <v>0.71499999999999997</v>
      </c>
      <c r="M3" s="10"/>
      <c r="N3" s="10"/>
      <c r="O3" s="74">
        <v>0</v>
      </c>
      <c r="P3" s="74">
        <v>0</v>
      </c>
      <c r="Q3" s="74">
        <v>0</v>
      </c>
      <c r="R3" s="72" t="s">
        <v>96</v>
      </c>
    </row>
    <row r="4" spans="1:18">
      <c r="A4" s="10"/>
      <c r="B4" s="71" t="s">
        <v>97</v>
      </c>
      <c r="C4" s="10"/>
      <c r="D4" s="10"/>
      <c r="E4" s="10"/>
      <c r="F4" s="73">
        <v>0.496</v>
      </c>
      <c r="G4" s="73">
        <v>0.80700000000000005</v>
      </c>
      <c r="H4" s="73">
        <v>0.81399999999999995</v>
      </c>
      <c r="I4" s="10"/>
      <c r="J4" s="73">
        <v>0.78600000000000003</v>
      </c>
      <c r="K4" s="73">
        <v>0.67900000000000005</v>
      </c>
      <c r="L4" s="73">
        <v>0.71599999999999997</v>
      </c>
      <c r="M4" s="10"/>
      <c r="N4" s="74">
        <v>4</v>
      </c>
      <c r="O4" s="10"/>
      <c r="P4" s="10"/>
      <c r="Q4" s="10"/>
      <c r="R4" s="72" t="s">
        <v>98</v>
      </c>
    </row>
    <row r="5" spans="1:18">
      <c r="A5" s="10"/>
      <c r="B5" s="71" t="s">
        <v>99</v>
      </c>
      <c r="C5" s="10"/>
      <c r="D5" s="10"/>
      <c r="E5" s="10"/>
      <c r="F5" s="73">
        <v>0.503</v>
      </c>
      <c r="G5" s="73">
        <v>0.80900000000000005</v>
      </c>
      <c r="H5" s="73">
        <v>0.81299999999999994</v>
      </c>
      <c r="I5" s="10"/>
      <c r="J5" s="73">
        <v>0.78600000000000003</v>
      </c>
      <c r="K5" s="73">
        <v>0.67100000000000004</v>
      </c>
      <c r="L5" s="73">
        <v>0.71599999999999997</v>
      </c>
      <c r="M5" s="10"/>
      <c r="N5" s="74">
        <v>3</v>
      </c>
      <c r="O5" s="10"/>
      <c r="P5" s="10"/>
      <c r="Q5" s="10"/>
      <c r="R5" s="72" t="s">
        <v>100</v>
      </c>
    </row>
    <row r="6" spans="1:18">
      <c r="A6" s="10"/>
      <c r="B6" s="71" t="s">
        <v>101</v>
      </c>
      <c r="C6" s="73">
        <v>5.9710000000000001</v>
      </c>
      <c r="D6" s="73">
        <v>9.3670000000000009</v>
      </c>
      <c r="E6" s="10"/>
      <c r="F6" s="73">
        <v>0.498</v>
      </c>
      <c r="G6" s="73">
        <v>0.80700000000000005</v>
      </c>
      <c r="H6" s="73">
        <v>0.81299999999999994</v>
      </c>
      <c r="I6" s="10"/>
      <c r="J6" s="73">
        <v>0.78600000000000003</v>
      </c>
      <c r="K6" s="73">
        <v>0.68600000000000005</v>
      </c>
      <c r="L6" s="73">
        <v>0.71799999999999997</v>
      </c>
      <c r="M6" s="10"/>
      <c r="N6" s="74">
        <v>4</v>
      </c>
      <c r="O6" s="74">
        <v>-0.90100000000000002</v>
      </c>
      <c r="P6" s="74">
        <v>-0.76600000000000001</v>
      </c>
      <c r="Q6" s="74">
        <v>-0.83399999999999996</v>
      </c>
      <c r="R6" s="72" t="s">
        <v>102</v>
      </c>
    </row>
    <row r="7" spans="1:18">
      <c r="A7" s="10"/>
      <c r="B7" s="71" t="s">
        <v>103</v>
      </c>
      <c r="C7" s="73">
        <v>5.9669999999999996</v>
      </c>
      <c r="D7" s="73">
        <v>9.3629999999999995</v>
      </c>
      <c r="E7" s="10"/>
      <c r="F7" s="73">
        <v>0.502</v>
      </c>
      <c r="G7" s="73">
        <v>0.80600000000000005</v>
      </c>
      <c r="H7" s="73">
        <v>0.81299999999999994</v>
      </c>
      <c r="I7" s="10"/>
      <c r="J7" s="73">
        <v>0.78700000000000003</v>
      </c>
      <c r="K7" s="73">
        <v>0.7</v>
      </c>
      <c r="L7" s="73">
        <v>0.72199999999999998</v>
      </c>
      <c r="M7" s="10"/>
      <c r="N7" s="74">
        <v>3</v>
      </c>
      <c r="O7" s="74">
        <v>-0.95299999999999996</v>
      </c>
      <c r="P7" s="74">
        <v>-0.81599999999999995</v>
      </c>
      <c r="Q7" s="74">
        <v>-0.88400000000000001</v>
      </c>
      <c r="R7" s="72" t="s">
        <v>104</v>
      </c>
    </row>
    <row r="8" spans="1:18">
      <c r="A8" s="10"/>
      <c r="B8" s="71" t="s">
        <v>105</v>
      </c>
      <c r="C8" s="73">
        <v>5.9660000000000002</v>
      </c>
      <c r="D8" s="73">
        <v>9.3629999999999995</v>
      </c>
      <c r="E8" s="10"/>
      <c r="F8" s="73">
        <v>0.5</v>
      </c>
      <c r="G8" s="73">
        <v>0.80700000000000005</v>
      </c>
      <c r="H8" s="73">
        <v>0.81299999999999994</v>
      </c>
      <c r="I8" s="10"/>
      <c r="J8" s="73">
        <v>0.78700000000000003</v>
      </c>
      <c r="K8" s="73">
        <v>0.68200000000000005</v>
      </c>
      <c r="L8" s="73">
        <v>0.71799999999999997</v>
      </c>
      <c r="M8" s="10"/>
      <c r="N8" s="74">
        <v>4</v>
      </c>
      <c r="O8" s="74">
        <v>-0.97099999999999997</v>
      </c>
      <c r="P8" s="74">
        <v>-0.81</v>
      </c>
      <c r="Q8" s="74">
        <v>-0.89100000000000001</v>
      </c>
      <c r="R8" s="72" t="s">
        <v>106</v>
      </c>
    </row>
    <row r="9" spans="1:18">
      <c r="A9" s="10"/>
      <c r="B9" s="71" t="s">
        <v>107</v>
      </c>
      <c r="C9" s="73">
        <v>5.9870000000000001</v>
      </c>
      <c r="D9" s="73">
        <v>9.3870000000000005</v>
      </c>
      <c r="E9" s="10"/>
      <c r="F9" s="73">
        <v>0.496</v>
      </c>
      <c r="G9" s="73">
        <v>0.80400000000000005</v>
      </c>
      <c r="H9" s="73">
        <v>0.81499999999999995</v>
      </c>
      <c r="I9" s="10"/>
      <c r="J9" s="73">
        <v>0.78600000000000003</v>
      </c>
      <c r="K9" s="73">
        <v>0.67100000000000004</v>
      </c>
      <c r="L9" s="73">
        <v>0.71499999999999997</v>
      </c>
      <c r="M9" s="10"/>
      <c r="N9" s="74">
        <v>2</v>
      </c>
      <c r="O9" s="74">
        <v>-0.627</v>
      </c>
      <c r="P9" s="74">
        <v>-0.55400000000000005</v>
      </c>
      <c r="Q9" s="74">
        <v>-0.59099999999999997</v>
      </c>
      <c r="R9" s="72" t="s">
        <v>108</v>
      </c>
    </row>
    <row r="10" spans="1:18">
      <c r="A10" s="10"/>
      <c r="B10" s="71" t="s">
        <v>109</v>
      </c>
      <c r="C10" s="73">
        <v>5.9749999999999996</v>
      </c>
      <c r="D10" s="73">
        <v>9.3729999999999993</v>
      </c>
      <c r="E10" s="10"/>
      <c r="F10" s="73">
        <v>0.502</v>
      </c>
      <c r="G10" s="73">
        <v>0.80700000000000005</v>
      </c>
      <c r="H10" s="73">
        <v>0.81399999999999995</v>
      </c>
      <c r="I10" s="10"/>
      <c r="J10" s="73">
        <v>0.78700000000000003</v>
      </c>
      <c r="K10" s="73">
        <v>0.66800000000000004</v>
      </c>
      <c r="L10" s="73">
        <v>0.71599999999999997</v>
      </c>
      <c r="M10" s="10"/>
      <c r="N10" s="74">
        <v>3</v>
      </c>
      <c r="O10" s="74">
        <v>-0.82199999999999995</v>
      </c>
      <c r="P10" s="74">
        <v>-0.70799999999999996</v>
      </c>
      <c r="Q10" s="74">
        <v>-0.76500000000000001</v>
      </c>
      <c r="R10" s="72" t="s">
        <v>110</v>
      </c>
    </row>
    <row r="11" spans="1:18">
      <c r="A11" s="10"/>
      <c r="B11" s="71" t="s">
        <v>111</v>
      </c>
      <c r="C11" s="73">
        <v>5.9720000000000004</v>
      </c>
      <c r="D11" s="10"/>
      <c r="E11" s="10"/>
      <c r="F11" s="73">
        <v>0.502</v>
      </c>
      <c r="G11" s="73">
        <v>0.80900000000000005</v>
      </c>
      <c r="H11" s="73">
        <v>0.81399999999999995</v>
      </c>
      <c r="I11" s="10"/>
      <c r="J11" s="73">
        <v>0.78800000000000003</v>
      </c>
      <c r="K11" s="73">
        <v>0.67900000000000005</v>
      </c>
      <c r="L11" s="73">
        <v>0.71799999999999997</v>
      </c>
      <c r="M11" s="10"/>
      <c r="N11" s="74">
        <v>4</v>
      </c>
      <c r="O11" s="74">
        <v>-0.88300000000000001</v>
      </c>
      <c r="P11" s="10"/>
      <c r="Q11" s="74">
        <v>-0.88300000000000001</v>
      </c>
      <c r="R11" s="72" t="s">
        <v>112</v>
      </c>
    </row>
    <row r="12" spans="1:18">
      <c r="A12" s="10"/>
      <c r="B12" s="71" t="s">
        <v>113</v>
      </c>
      <c r="C12" s="73">
        <v>5.9690000000000003</v>
      </c>
      <c r="D12" s="73">
        <v>9.3629999999999995</v>
      </c>
      <c r="E12" s="10"/>
      <c r="F12" s="73">
        <v>0.503</v>
      </c>
      <c r="G12" s="73">
        <v>0.80500000000000005</v>
      </c>
      <c r="H12" s="73">
        <v>0.81299999999999994</v>
      </c>
      <c r="I12" s="10"/>
      <c r="J12" s="73">
        <v>0.78700000000000003</v>
      </c>
      <c r="K12" s="73">
        <v>0.67500000000000004</v>
      </c>
      <c r="L12" s="73">
        <v>0.71699999999999997</v>
      </c>
      <c r="M12" s="10"/>
      <c r="N12" s="74">
        <v>2</v>
      </c>
      <c r="O12" s="74">
        <v>-0.93300000000000005</v>
      </c>
      <c r="P12" s="74">
        <v>-0.80900000000000005</v>
      </c>
      <c r="Q12" s="74">
        <v>-0.871</v>
      </c>
      <c r="R12" s="72" t="s">
        <v>114</v>
      </c>
    </row>
    <row r="13" spans="1:18">
      <c r="A13" s="10"/>
      <c r="B13" s="71" t="s">
        <v>115</v>
      </c>
      <c r="C13" s="73">
        <v>5.968</v>
      </c>
      <c r="D13" s="73">
        <v>9.3629999999999995</v>
      </c>
      <c r="E13" s="10"/>
      <c r="F13" s="73">
        <v>0.504</v>
      </c>
      <c r="G13" s="73">
        <v>0.80700000000000005</v>
      </c>
      <c r="H13" s="73">
        <v>0.81100000000000005</v>
      </c>
      <c r="I13" s="10"/>
      <c r="J13" s="73">
        <v>0.78500000000000003</v>
      </c>
      <c r="K13" s="73">
        <v>0.68200000000000005</v>
      </c>
      <c r="L13" s="73">
        <v>0.71799999999999997</v>
      </c>
      <c r="M13" s="10"/>
      <c r="N13" s="74">
        <v>4</v>
      </c>
      <c r="O13" s="74">
        <v>-0.95099999999999996</v>
      </c>
      <c r="P13" s="74">
        <v>-0.80900000000000005</v>
      </c>
      <c r="Q13" s="74">
        <v>-0.88</v>
      </c>
      <c r="R13" s="72" t="s">
        <v>116</v>
      </c>
    </row>
    <row r="14" spans="1:18">
      <c r="A14" s="10"/>
      <c r="B14" s="71" t="s">
        <v>117</v>
      </c>
      <c r="C14" s="73">
        <v>5.9870000000000001</v>
      </c>
      <c r="D14" s="73">
        <v>9.3870000000000005</v>
      </c>
      <c r="E14" s="10"/>
      <c r="F14" s="73">
        <v>0.497</v>
      </c>
      <c r="G14" s="73">
        <v>0.80600000000000005</v>
      </c>
      <c r="H14" s="73">
        <v>0.81200000000000006</v>
      </c>
      <c r="I14" s="10"/>
      <c r="J14" s="73">
        <v>0.78600000000000003</v>
      </c>
      <c r="K14" s="73">
        <v>0.67500000000000004</v>
      </c>
      <c r="L14" s="73">
        <v>0.71499999999999997</v>
      </c>
      <c r="M14" s="10"/>
      <c r="N14" s="74">
        <v>2</v>
      </c>
      <c r="O14" s="74">
        <v>-0.624</v>
      </c>
      <c r="P14" s="74">
        <v>-0.55400000000000005</v>
      </c>
      <c r="Q14" s="74">
        <v>-0.58899999999999997</v>
      </c>
      <c r="R14" s="72" t="s">
        <v>118</v>
      </c>
    </row>
    <row r="15" spans="1:18">
      <c r="A15" s="10"/>
      <c r="B15" s="71" t="s">
        <v>119</v>
      </c>
      <c r="C15" s="73">
        <v>5.9749999999999996</v>
      </c>
      <c r="D15" s="73">
        <v>9.3729999999999993</v>
      </c>
      <c r="E15" s="10"/>
      <c r="F15" s="73">
        <v>0.5</v>
      </c>
      <c r="G15" s="73">
        <v>0.80600000000000005</v>
      </c>
      <c r="H15" s="73">
        <v>0.81599999999999995</v>
      </c>
      <c r="I15" s="10"/>
      <c r="J15" s="73">
        <v>0.78700000000000003</v>
      </c>
      <c r="K15" s="73">
        <v>0.67500000000000004</v>
      </c>
      <c r="L15" s="73">
        <v>0.71699999999999997</v>
      </c>
      <c r="M15" s="10"/>
      <c r="N15" s="74">
        <v>2</v>
      </c>
      <c r="O15" s="74">
        <v>-0.83</v>
      </c>
      <c r="P15" s="74">
        <v>-0.70299999999999996</v>
      </c>
      <c r="Q15" s="74">
        <v>-0.76700000000000002</v>
      </c>
      <c r="R15" s="72" t="s">
        <v>120</v>
      </c>
    </row>
    <row r="16" spans="1:18">
      <c r="A16" s="10"/>
      <c r="B16" s="71" t="s">
        <v>121</v>
      </c>
      <c r="C16" s="73">
        <v>5.9720000000000004</v>
      </c>
      <c r="D16" s="73">
        <v>9.3689999999999998</v>
      </c>
      <c r="E16" s="10"/>
      <c r="F16" s="73">
        <v>0.505</v>
      </c>
      <c r="G16" s="73">
        <v>0.80700000000000005</v>
      </c>
      <c r="H16" s="73">
        <v>0.81200000000000006</v>
      </c>
      <c r="I16" s="10"/>
      <c r="J16" s="73">
        <v>0.78700000000000003</v>
      </c>
      <c r="K16" s="73">
        <v>0.67500000000000004</v>
      </c>
      <c r="L16" s="73">
        <v>0.71699999999999997</v>
      </c>
      <c r="M16" s="10"/>
      <c r="N16" s="74">
        <v>3</v>
      </c>
      <c r="O16" s="74">
        <v>-0.88</v>
      </c>
      <c r="P16" s="74">
        <v>-0.751</v>
      </c>
      <c r="Q16" s="74">
        <v>-0.81499999999999995</v>
      </c>
      <c r="R16" s="72" t="s">
        <v>122</v>
      </c>
    </row>
    <row r="17" spans="1:18">
      <c r="A17" s="10"/>
      <c r="B17" s="71" t="s">
        <v>123</v>
      </c>
      <c r="C17" s="73">
        <v>5.9690000000000003</v>
      </c>
      <c r="D17" s="73">
        <v>9.3659999999999997</v>
      </c>
      <c r="E17" s="10"/>
      <c r="F17" s="73">
        <v>0.5</v>
      </c>
      <c r="G17" s="73">
        <v>0.80800000000000005</v>
      </c>
      <c r="H17" s="73">
        <v>0.81100000000000005</v>
      </c>
      <c r="I17" s="10"/>
      <c r="J17" s="73">
        <v>0.78800000000000003</v>
      </c>
      <c r="K17" s="73">
        <v>0.67900000000000005</v>
      </c>
      <c r="L17" s="73">
        <v>0.71699999999999997</v>
      </c>
      <c r="M17" s="10"/>
      <c r="N17" s="74">
        <v>4</v>
      </c>
      <c r="O17" s="74">
        <v>-0.92100000000000004</v>
      </c>
      <c r="P17" s="74">
        <v>-0.77800000000000002</v>
      </c>
      <c r="Q17" s="74">
        <v>-0.84899999999999998</v>
      </c>
      <c r="R17" s="72" t="s">
        <v>124</v>
      </c>
    </row>
    <row r="18" spans="1:18">
      <c r="A18" s="10"/>
      <c r="B18" s="71" t="s">
        <v>125</v>
      </c>
      <c r="C18" s="73">
        <v>5.968</v>
      </c>
      <c r="D18" s="73">
        <v>9.3659999999999997</v>
      </c>
      <c r="E18" s="10"/>
      <c r="F18" s="73">
        <v>0.504</v>
      </c>
      <c r="G18" s="73">
        <v>0.80800000000000005</v>
      </c>
      <c r="H18" s="73">
        <v>0.81299999999999994</v>
      </c>
      <c r="I18" s="10"/>
      <c r="J18" s="73">
        <v>0.78400000000000003</v>
      </c>
      <c r="K18" s="73">
        <v>0.67900000000000005</v>
      </c>
      <c r="L18" s="73">
        <v>0.71799999999999997</v>
      </c>
      <c r="M18" s="10"/>
      <c r="N18" s="74">
        <v>4</v>
      </c>
      <c r="O18" s="74">
        <v>-0.94399999999999995</v>
      </c>
      <c r="P18" s="74">
        <v>-0.77700000000000002</v>
      </c>
      <c r="Q18" s="74">
        <v>-0.86</v>
      </c>
      <c r="R18" s="72" t="s">
        <v>126</v>
      </c>
    </row>
    <row r="19" spans="1:18">
      <c r="A19" s="10"/>
      <c r="B19" s="71" t="s">
        <v>127</v>
      </c>
      <c r="C19" s="73">
        <v>5.9870000000000001</v>
      </c>
      <c r="D19" s="73">
        <v>9.3889999999999993</v>
      </c>
      <c r="E19" s="10"/>
      <c r="F19" s="73">
        <v>0.497</v>
      </c>
      <c r="G19" s="73">
        <v>0.80400000000000005</v>
      </c>
      <c r="H19" s="73">
        <v>0.81200000000000006</v>
      </c>
      <c r="I19" s="10"/>
      <c r="J19" s="73">
        <v>0.78700000000000003</v>
      </c>
      <c r="K19" s="73">
        <v>0.66400000000000003</v>
      </c>
      <c r="L19" s="73">
        <v>0.71299999999999997</v>
      </c>
      <c r="M19" s="10"/>
      <c r="N19" s="74">
        <v>2</v>
      </c>
      <c r="O19" s="74">
        <v>-0.624</v>
      </c>
      <c r="P19" s="74">
        <v>-0.53400000000000003</v>
      </c>
      <c r="Q19" s="74">
        <v>-0.57899999999999996</v>
      </c>
      <c r="R19" s="72" t="s">
        <v>128</v>
      </c>
    </row>
    <row r="20" spans="1:18">
      <c r="A20" s="10"/>
      <c r="B20" s="71" t="s">
        <v>129</v>
      </c>
      <c r="C20" s="73">
        <v>5.976</v>
      </c>
      <c r="D20" s="73">
        <v>9.3759999999999994</v>
      </c>
      <c r="E20" s="10"/>
      <c r="F20" s="73">
        <v>0.497</v>
      </c>
      <c r="G20" s="73">
        <v>0.80900000000000005</v>
      </c>
      <c r="H20" s="73">
        <v>0.81499999999999995</v>
      </c>
      <c r="I20" s="10"/>
      <c r="J20" s="73">
        <v>0.78700000000000003</v>
      </c>
      <c r="K20" s="73">
        <v>0.67900000000000005</v>
      </c>
      <c r="L20" s="73">
        <v>0.71699999999999997</v>
      </c>
      <c r="M20" s="10"/>
      <c r="N20" s="74">
        <v>4</v>
      </c>
      <c r="O20" s="74">
        <v>-0.80300000000000005</v>
      </c>
      <c r="P20" s="74">
        <v>-0.67700000000000005</v>
      </c>
      <c r="Q20" s="74">
        <v>-0.74</v>
      </c>
      <c r="R20" s="72" t="s">
        <v>130</v>
      </c>
    </row>
    <row r="21" spans="1:18">
      <c r="A21" s="75"/>
      <c r="B21" s="76" t="s">
        <v>131</v>
      </c>
      <c r="C21" s="77">
        <v>5.9729999999999999</v>
      </c>
      <c r="D21" s="77">
        <v>9.3689999999999998</v>
      </c>
      <c r="E21" s="75"/>
      <c r="F21" s="77">
        <v>0.505</v>
      </c>
      <c r="G21" s="77">
        <v>0.80700000000000005</v>
      </c>
      <c r="H21" s="77">
        <v>0.81299999999999994</v>
      </c>
      <c r="I21" s="75"/>
      <c r="J21" s="77">
        <v>0.78700000000000003</v>
      </c>
      <c r="K21" s="77">
        <v>0.69299999999999995</v>
      </c>
      <c r="L21" s="77">
        <v>0.72099999999999997</v>
      </c>
      <c r="M21" s="10"/>
      <c r="N21" s="74">
        <v>4</v>
      </c>
      <c r="O21" s="74">
        <v>-0.86499999999999999</v>
      </c>
      <c r="P21" s="74">
        <v>-0.747</v>
      </c>
      <c r="Q21" s="74">
        <v>-0.80600000000000005</v>
      </c>
      <c r="R21" s="72" t="s">
        <v>132</v>
      </c>
    </row>
    <row r="22" spans="1:18">
      <c r="A22" s="10"/>
      <c r="B22" s="71" t="s">
        <v>133</v>
      </c>
      <c r="C22" s="73">
        <v>5.9690000000000003</v>
      </c>
      <c r="D22" s="73">
        <v>9.3659999999999997</v>
      </c>
      <c r="E22" s="10"/>
      <c r="F22" s="73">
        <v>0.503</v>
      </c>
      <c r="G22" s="73">
        <v>0.80800000000000005</v>
      </c>
      <c r="H22" s="73">
        <v>0.81299999999999994</v>
      </c>
      <c r="I22" s="10"/>
      <c r="J22" s="73">
        <v>0.78500000000000003</v>
      </c>
      <c r="K22" s="73">
        <v>0.68200000000000005</v>
      </c>
      <c r="L22" s="73">
        <v>0.71799999999999997</v>
      </c>
      <c r="M22" s="10"/>
      <c r="N22" s="74">
        <v>4</v>
      </c>
      <c r="O22" s="74">
        <v>-0.92900000000000005</v>
      </c>
      <c r="P22" s="74">
        <v>-0.77700000000000002</v>
      </c>
      <c r="Q22" s="74">
        <v>-0.85299999999999998</v>
      </c>
      <c r="R22" s="72" t="s">
        <v>134</v>
      </c>
    </row>
    <row r="23" spans="1:18">
      <c r="A23" s="10"/>
      <c r="B23" s="71" t="s">
        <v>135</v>
      </c>
      <c r="C23" s="73">
        <v>5.9690000000000003</v>
      </c>
      <c r="D23" s="73">
        <v>9.3670000000000009</v>
      </c>
      <c r="E23" s="10"/>
      <c r="F23" s="73">
        <v>0.50600000000000001</v>
      </c>
      <c r="G23" s="73">
        <v>0.80900000000000005</v>
      </c>
      <c r="H23" s="73">
        <v>0.81399999999999995</v>
      </c>
      <c r="I23" s="10"/>
      <c r="J23" s="73">
        <v>0.78500000000000003</v>
      </c>
      <c r="K23" s="73">
        <v>0.66800000000000004</v>
      </c>
      <c r="L23" s="73">
        <v>0.71599999999999997</v>
      </c>
      <c r="M23" s="10"/>
      <c r="N23" s="74">
        <v>3</v>
      </c>
      <c r="O23" s="74">
        <v>-0.93400000000000005</v>
      </c>
      <c r="P23" s="74">
        <v>-0.77300000000000002</v>
      </c>
      <c r="Q23" s="74">
        <v>-0.85399999999999998</v>
      </c>
      <c r="R23" s="72" t="s">
        <v>136</v>
      </c>
    </row>
    <row r="24" spans="1:18">
      <c r="A24" s="10"/>
      <c r="B24" s="71" t="s">
        <v>137</v>
      </c>
      <c r="C24" s="73">
        <v>5.9880000000000004</v>
      </c>
      <c r="D24" s="73">
        <v>9.39</v>
      </c>
      <c r="E24" s="10"/>
      <c r="F24" s="73">
        <v>0.496</v>
      </c>
      <c r="G24" s="73">
        <v>0.80600000000000005</v>
      </c>
      <c r="H24" s="73">
        <v>0.81299999999999994</v>
      </c>
      <c r="I24" s="10"/>
      <c r="J24" s="73">
        <v>0.78800000000000003</v>
      </c>
      <c r="K24" s="73">
        <v>0.67100000000000004</v>
      </c>
      <c r="L24" s="73">
        <v>0.71499999999999997</v>
      </c>
      <c r="M24" s="10"/>
      <c r="N24" s="74">
        <v>2</v>
      </c>
      <c r="O24" s="74">
        <v>-0.60699999999999998</v>
      </c>
      <c r="P24" s="74">
        <v>-0.53</v>
      </c>
      <c r="Q24" s="74">
        <v>-0.56899999999999995</v>
      </c>
      <c r="R24" s="72" t="s">
        <v>138</v>
      </c>
    </row>
    <row r="25" spans="1:18">
      <c r="A25" s="10"/>
      <c r="B25" s="71" t="s">
        <v>139</v>
      </c>
      <c r="C25" s="73">
        <v>5.9770000000000003</v>
      </c>
      <c r="D25" s="73">
        <v>9.375</v>
      </c>
      <c r="E25" s="10"/>
      <c r="F25" s="73">
        <v>0.497</v>
      </c>
      <c r="G25" s="73">
        <v>0.80900000000000005</v>
      </c>
      <c r="H25" s="73">
        <v>0.81200000000000006</v>
      </c>
      <c r="I25" s="10"/>
      <c r="J25" s="73">
        <v>0.78800000000000003</v>
      </c>
      <c r="K25" s="73">
        <v>0.68200000000000005</v>
      </c>
      <c r="L25" s="73">
        <v>0.71799999999999997</v>
      </c>
      <c r="M25" s="10"/>
      <c r="N25" s="74">
        <v>4</v>
      </c>
      <c r="O25" s="74">
        <v>-0.80200000000000005</v>
      </c>
      <c r="P25" s="74">
        <v>-0.68400000000000005</v>
      </c>
      <c r="Q25" s="74">
        <v>-0.74299999999999999</v>
      </c>
      <c r="R25" s="72" t="s">
        <v>140</v>
      </c>
    </row>
    <row r="26" spans="1:18">
      <c r="A26" s="10"/>
      <c r="B26" s="71" t="s">
        <v>141</v>
      </c>
      <c r="C26" s="73">
        <v>5.9740000000000002</v>
      </c>
      <c r="D26" s="73">
        <v>9.3699999999999992</v>
      </c>
      <c r="E26" s="10"/>
      <c r="F26" s="73">
        <v>0.502</v>
      </c>
      <c r="G26" s="73">
        <v>0.80700000000000005</v>
      </c>
      <c r="H26" s="73">
        <v>0.81299999999999994</v>
      </c>
      <c r="I26" s="10"/>
      <c r="J26" s="73">
        <v>0.78900000000000003</v>
      </c>
      <c r="K26" s="73">
        <v>0.69299999999999995</v>
      </c>
      <c r="L26" s="73">
        <v>0.72099999999999997</v>
      </c>
      <c r="M26" s="10"/>
      <c r="N26" s="74">
        <v>4</v>
      </c>
      <c r="O26" s="74">
        <v>-0.84699999999999998</v>
      </c>
      <c r="P26" s="74">
        <v>-0.74199999999999999</v>
      </c>
      <c r="Q26" s="74">
        <v>-0.79400000000000004</v>
      </c>
      <c r="R26" s="72" t="s">
        <v>142</v>
      </c>
    </row>
    <row r="27" spans="1:18">
      <c r="A27" s="10"/>
      <c r="B27" s="71" t="s">
        <v>143</v>
      </c>
      <c r="C27" s="73">
        <v>5.97</v>
      </c>
      <c r="D27" s="73">
        <v>9.3659999999999997</v>
      </c>
      <c r="E27" s="10"/>
      <c r="F27" s="73">
        <v>0.499</v>
      </c>
      <c r="G27" s="73">
        <v>0.80800000000000005</v>
      </c>
      <c r="H27" s="73">
        <v>0.81399999999999995</v>
      </c>
      <c r="I27" s="10"/>
      <c r="J27" s="73">
        <v>0.78800000000000003</v>
      </c>
      <c r="K27" s="73">
        <v>0.68200000000000005</v>
      </c>
      <c r="L27" s="73">
        <v>0.71799999999999997</v>
      </c>
      <c r="M27" s="10"/>
      <c r="N27" s="74">
        <v>4</v>
      </c>
      <c r="O27" s="74">
        <v>-0.91100000000000003</v>
      </c>
      <c r="P27" s="74">
        <v>-0.77700000000000002</v>
      </c>
      <c r="Q27" s="74">
        <v>-0.84399999999999997</v>
      </c>
      <c r="R27" s="72" t="s">
        <v>144</v>
      </c>
    </row>
    <row r="28" spans="1:18">
      <c r="A28" s="10"/>
      <c r="B28" s="71" t="s">
        <v>145</v>
      </c>
      <c r="C28" s="73">
        <v>5.9690000000000003</v>
      </c>
      <c r="D28" s="73">
        <v>9.3659999999999997</v>
      </c>
      <c r="E28" s="10"/>
      <c r="F28" s="73">
        <v>0.501</v>
      </c>
      <c r="G28" s="73">
        <v>0.80900000000000005</v>
      </c>
      <c r="H28" s="73">
        <v>0.80900000000000005</v>
      </c>
      <c r="I28" s="10"/>
      <c r="J28" s="73">
        <v>0.78600000000000003</v>
      </c>
      <c r="K28" s="73">
        <v>0.67500000000000004</v>
      </c>
      <c r="L28" s="73">
        <v>0.71599999999999997</v>
      </c>
      <c r="M28" s="10"/>
      <c r="N28" s="74">
        <v>3</v>
      </c>
      <c r="O28" s="74">
        <v>-0.93300000000000005</v>
      </c>
      <c r="P28" s="74">
        <v>-0.78</v>
      </c>
      <c r="Q28" s="74">
        <v>-0.85599999999999998</v>
      </c>
      <c r="R28" s="72" t="s">
        <v>146</v>
      </c>
    </row>
    <row r="29" spans="1:18">
      <c r="A29" s="10"/>
      <c r="B29" s="71" t="s">
        <v>147</v>
      </c>
      <c r="C29" s="73">
        <v>5.9889999999999999</v>
      </c>
      <c r="D29" s="73">
        <v>9.391</v>
      </c>
      <c r="E29" s="10"/>
      <c r="F29" s="73">
        <v>0.49199999999999999</v>
      </c>
      <c r="G29" s="73">
        <v>0.80500000000000005</v>
      </c>
      <c r="H29" s="73">
        <v>0.81200000000000006</v>
      </c>
      <c r="I29" s="10"/>
      <c r="J29" s="73">
        <v>0.78600000000000003</v>
      </c>
      <c r="K29" s="73">
        <v>0.67500000000000004</v>
      </c>
      <c r="L29" s="73">
        <v>0.71399999999999997</v>
      </c>
      <c r="M29" s="10"/>
      <c r="N29" s="74">
        <v>2</v>
      </c>
      <c r="O29" s="74">
        <v>-0.60299999999999998</v>
      </c>
      <c r="P29" s="74">
        <v>-0.51200000000000001</v>
      </c>
      <c r="Q29" s="74">
        <v>-0.55700000000000005</v>
      </c>
      <c r="R29" s="72" t="s">
        <v>148</v>
      </c>
    </row>
    <row r="30" spans="1:18">
      <c r="A30" s="10"/>
      <c r="B30" s="71" t="s">
        <v>149</v>
      </c>
      <c r="C30" s="73">
        <v>5.9770000000000003</v>
      </c>
      <c r="D30" s="73">
        <v>9.3770000000000007</v>
      </c>
      <c r="E30" s="10"/>
      <c r="F30" s="73">
        <v>0.496</v>
      </c>
      <c r="G30" s="73">
        <v>0.80900000000000005</v>
      </c>
      <c r="H30" s="73">
        <v>0.81299999999999994</v>
      </c>
      <c r="I30" s="10"/>
      <c r="J30" s="73">
        <v>0.78800000000000003</v>
      </c>
      <c r="K30" s="73">
        <v>0.67900000000000005</v>
      </c>
      <c r="L30" s="73">
        <v>0.71699999999999997</v>
      </c>
      <c r="M30" s="10"/>
      <c r="N30" s="74">
        <v>4</v>
      </c>
      <c r="O30" s="74">
        <v>-0.79300000000000004</v>
      </c>
      <c r="P30" s="74">
        <v>-0.66500000000000004</v>
      </c>
      <c r="Q30" s="74">
        <v>-0.72899999999999998</v>
      </c>
      <c r="R30" s="72" t="s">
        <v>150</v>
      </c>
    </row>
    <row r="31" spans="1:18">
      <c r="A31" s="10"/>
      <c r="B31" s="71" t="s">
        <v>151</v>
      </c>
      <c r="C31" s="73">
        <v>5.9740000000000002</v>
      </c>
      <c r="D31" s="73">
        <v>9.3719999999999999</v>
      </c>
      <c r="E31" s="10"/>
      <c r="F31" s="73">
        <v>0.5</v>
      </c>
      <c r="G31" s="73">
        <v>0.80800000000000005</v>
      </c>
      <c r="H31" s="73">
        <v>0.81299999999999994</v>
      </c>
      <c r="I31" s="10"/>
      <c r="J31" s="73">
        <v>0.78800000000000003</v>
      </c>
      <c r="K31" s="73">
        <v>0.68200000000000005</v>
      </c>
      <c r="L31" s="73">
        <v>0.71799999999999997</v>
      </c>
      <c r="M31" s="10"/>
      <c r="N31" s="74">
        <v>4</v>
      </c>
      <c r="O31" s="74">
        <v>-0.84799999999999998</v>
      </c>
      <c r="P31" s="74">
        <v>-0.71599999999999997</v>
      </c>
      <c r="Q31" s="74">
        <v>-0.78200000000000003</v>
      </c>
      <c r="R31" s="72" t="s">
        <v>152</v>
      </c>
    </row>
    <row r="32" spans="1:18">
      <c r="A32" s="10"/>
      <c r="B32" s="71" t="s">
        <v>153</v>
      </c>
      <c r="C32" s="73">
        <v>5.97</v>
      </c>
      <c r="D32" s="73">
        <v>9.3680000000000003</v>
      </c>
      <c r="E32" s="10"/>
      <c r="F32" s="73">
        <v>0.499</v>
      </c>
      <c r="G32" s="73">
        <v>0.80800000000000005</v>
      </c>
      <c r="H32" s="73">
        <v>0.81299999999999994</v>
      </c>
      <c r="I32" s="10"/>
      <c r="J32" s="73">
        <v>0.78800000000000003</v>
      </c>
      <c r="K32" s="73">
        <v>0.69</v>
      </c>
      <c r="L32" s="73">
        <v>0.72</v>
      </c>
      <c r="M32" s="10"/>
      <c r="N32" s="74">
        <v>4</v>
      </c>
      <c r="O32" s="74">
        <v>-0.91600000000000004</v>
      </c>
      <c r="P32" s="74">
        <v>-0.755</v>
      </c>
      <c r="Q32" s="74">
        <v>-0.83599999999999997</v>
      </c>
      <c r="R32" s="72" t="s">
        <v>154</v>
      </c>
    </row>
    <row r="33" spans="1:18">
      <c r="A33" s="10"/>
      <c r="B33" s="71" t="s">
        <v>155</v>
      </c>
      <c r="C33" s="73">
        <v>5.968</v>
      </c>
      <c r="D33" s="73">
        <v>9.3670000000000009</v>
      </c>
      <c r="E33" s="10"/>
      <c r="F33" s="73">
        <v>0.498</v>
      </c>
      <c r="G33" s="73">
        <v>0.80800000000000005</v>
      </c>
      <c r="H33" s="73">
        <v>0.81299999999999994</v>
      </c>
      <c r="I33" s="10"/>
      <c r="J33" s="73">
        <v>0.78500000000000003</v>
      </c>
      <c r="K33" s="73">
        <v>0.69</v>
      </c>
      <c r="L33" s="73">
        <v>0.71899999999999997</v>
      </c>
      <c r="M33" s="10"/>
      <c r="N33" s="74">
        <v>4</v>
      </c>
      <c r="O33" s="74">
        <v>-0.93799999999999994</v>
      </c>
      <c r="P33" s="74">
        <v>-0.76700000000000002</v>
      </c>
      <c r="Q33" s="74">
        <v>-0.85199999999999998</v>
      </c>
      <c r="R33" s="72" t="s">
        <v>156</v>
      </c>
    </row>
    <row r="34" spans="1:18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spans="1:18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</row>
    <row r="36" spans="1:18">
      <c r="A36" s="45" t="s">
        <v>157</v>
      </c>
      <c r="B36" s="45" t="s">
        <v>131</v>
      </c>
      <c r="C36" s="10"/>
      <c r="D36" s="10"/>
      <c r="E36" s="10"/>
      <c r="F36" s="11">
        <v>0.72099999999999997</v>
      </c>
      <c r="G36" s="11">
        <v>4</v>
      </c>
      <c r="H36" s="11">
        <v>-0.80600000000000005</v>
      </c>
      <c r="I36" s="10"/>
      <c r="J36" s="10"/>
      <c r="K36" s="10"/>
      <c r="L36" s="10"/>
      <c r="M36" s="10"/>
      <c r="N36" s="10"/>
      <c r="O36" s="10"/>
      <c r="P36" s="10"/>
      <c r="Q36" s="10"/>
      <c r="R3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6"/>
  <sheetViews>
    <sheetView workbookViewId="0"/>
  </sheetViews>
  <sheetFormatPr defaultColWidth="12.6640625" defaultRowHeight="15.75" customHeight="1"/>
  <sheetData>
    <row r="1" spans="1:15" ht="15.75" customHeight="1">
      <c r="A1" s="78" t="s">
        <v>158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</row>
    <row r="2" spans="1:15" ht="15.75" customHeight="1">
      <c r="A2" s="78" t="s">
        <v>159</v>
      </c>
      <c r="B2" s="78" t="s">
        <v>160</v>
      </c>
      <c r="C2" s="78" t="s">
        <v>161</v>
      </c>
      <c r="D2" s="78" t="s">
        <v>2</v>
      </c>
      <c r="E2" s="78" t="s">
        <v>3</v>
      </c>
      <c r="F2" s="78" t="s">
        <v>4</v>
      </c>
      <c r="G2" s="78" t="s">
        <v>5</v>
      </c>
      <c r="H2" s="78" t="s">
        <v>6</v>
      </c>
      <c r="I2" s="78" t="s">
        <v>10</v>
      </c>
      <c r="J2" s="78" t="s">
        <v>11</v>
      </c>
      <c r="K2" s="78" t="s">
        <v>162</v>
      </c>
      <c r="L2" s="78" t="s">
        <v>163</v>
      </c>
      <c r="M2" s="78" t="s">
        <v>164</v>
      </c>
      <c r="N2" s="78" t="s">
        <v>165</v>
      </c>
      <c r="O2" s="78" t="s">
        <v>93</v>
      </c>
    </row>
    <row r="3" spans="1:15">
      <c r="A3" s="72" t="s">
        <v>166</v>
      </c>
      <c r="B3" s="79"/>
      <c r="C3" s="79"/>
      <c r="D3" s="74">
        <v>7.4509999999999996</v>
      </c>
      <c r="E3" s="74">
        <v>11.98</v>
      </c>
      <c r="F3" s="74">
        <v>0.41699999999999998</v>
      </c>
      <c r="G3" s="74">
        <v>0.749</v>
      </c>
      <c r="H3" s="74">
        <v>0.79100000000000004</v>
      </c>
      <c r="I3" s="74">
        <v>0.76800000000000002</v>
      </c>
      <c r="J3" s="74">
        <v>0.625</v>
      </c>
      <c r="K3" s="74">
        <v>0.67</v>
      </c>
      <c r="L3" s="79"/>
      <c r="M3" s="79"/>
      <c r="N3" s="79"/>
      <c r="O3" s="72" t="s">
        <v>167</v>
      </c>
    </row>
    <row r="4" spans="1:15">
      <c r="A4" s="72" t="s">
        <v>168</v>
      </c>
      <c r="B4" s="74">
        <v>0</v>
      </c>
      <c r="C4" s="74">
        <v>0.01</v>
      </c>
      <c r="D4" s="74">
        <v>7.4029999999999996</v>
      </c>
      <c r="E4" s="79"/>
      <c r="F4" s="74">
        <v>0.41299999999999998</v>
      </c>
      <c r="G4" s="74">
        <v>0.74099999999999999</v>
      </c>
      <c r="H4" s="74">
        <v>0.77800000000000002</v>
      </c>
      <c r="I4" s="79"/>
      <c r="J4" s="74">
        <v>0.628</v>
      </c>
      <c r="K4" s="79"/>
      <c r="L4" s="74">
        <v>-4.8000000000000001E-2</v>
      </c>
      <c r="M4" s="79"/>
      <c r="N4" s="79"/>
      <c r="O4" s="72" t="s">
        <v>169</v>
      </c>
    </row>
    <row r="5" spans="1:15">
      <c r="A5" s="72" t="s">
        <v>168</v>
      </c>
      <c r="B5" s="74">
        <v>0</v>
      </c>
      <c r="C5" s="74">
        <v>0.02</v>
      </c>
      <c r="D5" s="74">
        <v>7.407</v>
      </c>
      <c r="E5" s="79"/>
      <c r="F5" s="74">
        <v>0.40400000000000003</v>
      </c>
      <c r="G5" s="74">
        <v>0.74199999999999999</v>
      </c>
      <c r="H5" s="74">
        <v>0.77400000000000002</v>
      </c>
      <c r="I5" s="79"/>
      <c r="J5" s="74">
        <v>0.64600000000000002</v>
      </c>
      <c r="K5" s="79"/>
      <c r="L5" s="74">
        <v>-4.3999999999999997E-2</v>
      </c>
      <c r="M5" s="79"/>
      <c r="N5" s="79"/>
      <c r="O5" s="72" t="s">
        <v>170</v>
      </c>
    </row>
    <row r="6" spans="1:15">
      <c r="A6" s="72" t="s">
        <v>168</v>
      </c>
      <c r="B6" s="74">
        <v>0</v>
      </c>
      <c r="C6" s="74">
        <v>0.03</v>
      </c>
      <c r="D6" s="74">
        <v>7.4139999999999997</v>
      </c>
      <c r="E6" s="79"/>
      <c r="F6" s="74">
        <v>0.40600000000000003</v>
      </c>
      <c r="G6" s="74">
        <v>0.73799999999999999</v>
      </c>
      <c r="H6" s="74">
        <v>0.77600000000000002</v>
      </c>
      <c r="I6" s="79"/>
      <c r="J6" s="74">
        <v>0.64300000000000002</v>
      </c>
      <c r="K6" s="79"/>
      <c r="L6" s="74">
        <v>-3.6999999999999998E-2</v>
      </c>
      <c r="M6" s="79"/>
      <c r="N6" s="79"/>
      <c r="O6" s="72" t="s">
        <v>171</v>
      </c>
    </row>
    <row r="7" spans="1:15">
      <c r="A7" s="72" t="s">
        <v>168</v>
      </c>
      <c r="B7" s="74">
        <v>0</v>
      </c>
      <c r="C7" s="74">
        <v>0.04</v>
      </c>
      <c r="D7" s="74">
        <v>7.4109999999999996</v>
      </c>
      <c r="E7" s="79"/>
      <c r="F7" s="74">
        <v>0.41599999999999998</v>
      </c>
      <c r="G7" s="74">
        <v>0.73699999999999999</v>
      </c>
      <c r="H7" s="74">
        <v>0.77600000000000002</v>
      </c>
      <c r="I7" s="79"/>
      <c r="J7" s="74">
        <v>0.65700000000000003</v>
      </c>
      <c r="K7" s="79"/>
      <c r="L7" s="74">
        <v>-0.04</v>
      </c>
      <c r="M7" s="79"/>
      <c r="N7" s="79"/>
      <c r="O7" s="72" t="s">
        <v>172</v>
      </c>
    </row>
    <row r="8" spans="1:15">
      <c r="A8" s="72" t="s">
        <v>168</v>
      </c>
      <c r="B8" s="74">
        <v>0</v>
      </c>
      <c r="C8" s="74">
        <v>0.05</v>
      </c>
      <c r="D8" s="74">
        <v>7.4130000000000003</v>
      </c>
      <c r="E8" s="79"/>
      <c r="F8" s="74">
        <v>0.41099999999999998</v>
      </c>
      <c r="G8" s="74">
        <v>0.73799999999999999</v>
      </c>
      <c r="H8" s="74">
        <v>0.77600000000000002</v>
      </c>
      <c r="I8" s="79"/>
      <c r="J8" s="74">
        <v>0.67100000000000004</v>
      </c>
      <c r="K8" s="79"/>
      <c r="L8" s="74">
        <v>-3.9E-2</v>
      </c>
      <c r="M8" s="79"/>
      <c r="N8" s="79"/>
      <c r="O8" s="72" t="s">
        <v>173</v>
      </c>
    </row>
    <row r="9" spans="1:15">
      <c r="A9" s="72" t="s">
        <v>168</v>
      </c>
      <c r="B9" s="74">
        <v>0.01</v>
      </c>
      <c r="C9" s="74">
        <v>0.01</v>
      </c>
      <c r="D9" s="74">
        <v>7.4020000000000001</v>
      </c>
      <c r="E9" s="79"/>
      <c r="F9" s="74">
        <v>0.42</v>
      </c>
      <c r="G9" s="74">
        <v>0.74299999999999999</v>
      </c>
      <c r="H9" s="74">
        <v>0.77700000000000002</v>
      </c>
      <c r="I9" s="79"/>
      <c r="J9" s="74">
        <v>0.65</v>
      </c>
      <c r="K9" s="79"/>
      <c r="L9" s="74">
        <v>-4.9000000000000002E-2</v>
      </c>
      <c r="M9" s="79"/>
      <c r="N9" s="79"/>
      <c r="O9" s="72" t="s">
        <v>174</v>
      </c>
    </row>
    <row r="10" spans="1:15">
      <c r="A10" s="72" t="s">
        <v>168</v>
      </c>
      <c r="B10" s="74">
        <v>0.01</v>
      </c>
      <c r="C10" s="74">
        <v>0.02</v>
      </c>
      <c r="D10" s="74">
        <v>7.4119999999999999</v>
      </c>
      <c r="E10" s="79"/>
      <c r="F10" s="74">
        <v>0.41199999999999998</v>
      </c>
      <c r="G10" s="74">
        <v>0.746</v>
      </c>
      <c r="H10" s="74">
        <v>0.77400000000000002</v>
      </c>
      <c r="I10" s="74">
        <v>0.76200000000000001</v>
      </c>
      <c r="J10" s="74">
        <v>0.66800000000000004</v>
      </c>
      <c r="K10" s="74">
        <v>0.67300000000000004</v>
      </c>
      <c r="L10" s="74">
        <v>-0.04</v>
      </c>
      <c r="M10" s="74">
        <v>3.0000000000000001E-3</v>
      </c>
      <c r="N10" s="74">
        <v>1</v>
      </c>
      <c r="O10" s="72" t="s">
        <v>175</v>
      </c>
    </row>
    <row r="11" spans="1:15">
      <c r="A11" s="72" t="s">
        <v>168</v>
      </c>
      <c r="B11" s="74">
        <v>0.01</v>
      </c>
      <c r="C11" s="74">
        <v>0.03</v>
      </c>
      <c r="D11" s="74">
        <v>7.4160000000000004</v>
      </c>
      <c r="E11" s="79"/>
      <c r="F11" s="74">
        <v>0.41699999999999998</v>
      </c>
      <c r="G11" s="74">
        <v>0.73699999999999999</v>
      </c>
      <c r="H11" s="74">
        <v>0.77700000000000002</v>
      </c>
      <c r="I11" s="74">
        <v>0.76700000000000002</v>
      </c>
      <c r="J11" s="74">
        <v>0.68200000000000005</v>
      </c>
      <c r="K11" s="74">
        <v>0.67600000000000005</v>
      </c>
      <c r="L11" s="74">
        <v>-3.5000000000000003E-2</v>
      </c>
      <c r="M11" s="74">
        <v>6.0000000000000001E-3</v>
      </c>
      <c r="N11" s="74">
        <v>2</v>
      </c>
      <c r="O11" s="72" t="s">
        <v>176</v>
      </c>
    </row>
    <row r="12" spans="1:15">
      <c r="A12" s="72" t="s">
        <v>168</v>
      </c>
      <c r="B12" s="74">
        <v>0.01</v>
      </c>
      <c r="C12" s="74">
        <v>0.04</v>
      </c>
      <c r="D12" s="74">
        <v>7.4139999999999997</v>
      </c>
      <c r="E12" s="79"/>
      <c r="F12" s="74">
        <v>0.41399999999999998</v>
      </c>
      <c r="G12" s="74">
        <v>0.74399999999999999</v>
      </c>
      <c r="H12" s="74">
        <v>0.77800000000000002</v>
      </c>
      <c r="I12" s="74">
        <v>0.76600000000000001</v>
      </c>
      <c r="J12" s="74">
        <v>0.66100000000000003</v>
      </c>
      <c r="K12" s="74">
        <v>0.67200000000000004</v>
      </c>
      <c r="L12" s="74">
        <v>-3.6999999999999998E-2</v>
      </c>
      <c r="M12" s="74">
        <v>2E-3</v>
      </c>
      <c r="N12" s="74">
        <v>1</v>
      </c>
      <c r="O12" s="72" t="s">
        <v>177</v>
      </c>
    </row>
    <row r="13" spans="1:15">
      <c r="A13" s="72" t="s">
        <v>168</v>
      </c>
      <c r="B13" s="74">
        <v>0.01</v>
      </c>
      <c r="C13" s="74">
        <v>0.05</v>
      </c>
      <c r="D13" s="74">
        <v>7.4109999999999996</v>
      </c>
      <c r="E13" s="79"/>
      <c r="F13" s="74">
        <v>0.41199999999999998</v>
      </c>
      <c r="G13" s="74">
        <v>0.74299999999999999</v>
      </c>
      <c r="H13" s="74">
        <v>0.78300000000000003</v>
      </c>
      <c r="I13" s="74">
        <v>0.77100000000000002</v>
      </c>
      <c r="J13" s="74">
        <v>0.65300000000000002</v>
      </c>
      <c r="K13" s="74">
        <v>0.67300000000000004</v>
      </c>
      <c r="L13" s="74">
        <v>-0.04</v>
      </c>
      <c r="M13" s="74">
        <v>3.0000000000000001E-3</v>
      </c>
      <c r="N13" s="74">
        <v>2</v>
      </c>
      <c r="O13" s="72" t="s">
        <v>178</v>
      </c>
    </row>
    <row r="14" spans="1:15">
      <c r="A14" s="72" t="s">
        <v>168</v>
      </c>
      <c r="B14" s="74">
        <v>0.02</v>
      </c>
      <c r="C14" s="74">
        <v>0.01</v>
      </c>
      <c r="D14" s="74">
        <v>7.4089999999999998</v>
      </c>
      <c r="E14" s="79"/>
      <c r="F14" s="74">
        <v>0.41299999999999998</v>
      </c>
      <c r="G14" s="74">
        <v>0.73599999999999999</v>
      </c>
      <c r="H14" s="74">
        <v>0.77900000000000003</v>
      </c>
      <c r="I14" s="74">
        <v>0.76100000000000001</v>
      </c>
      <c r="J14" s="74">
        <v>0.66400000000000003</v>
      </c>
      <c r="K14" s="74">
        <v>0.67100000000000004</v>
      </c>
      <c r="L14" s="74">
        <v>-4.2000000000000003E-2</v>
      </c>
      <c r="M14" s="74">
        <v>1E-3</v>
      </c>
      <c r="N14" s="74">
        <v>1</v>
      </c>
      <c r="O14" s="72" t="s">
        <v>179</v>
      </c>
    </row>
    <row r="15" spans="1:1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</row>
    <row r="16" spans="1:15">
      <c r="A16" s="72" t="s">
        <v>180</v>
      </c>
      <c r="B16" s="74">
        <v>0.01</v>
      </c>
      <c r="C16" s="74">
        <v>0.03</v>
      </c>
      <c r="D16" s="74">
        <v>7.4160000000000004</v>
      </c>
      <c r="E16" s="79"/>
      <c r="F16" s="74">
        <v>0.41699999999999998</v>
      </c>
      <c r="G16" s="74">
        <v>0.73699999999999999</v>
      </c>
      <c r="H16" s="74">
        <v>0.77700000000000002</v>
      </c>
      <c r="I16" s="74">
        <v>0.76700000000000002</v>
      </c>
      <c r="J16" s="74">
        <v>0.68200000000000005</v>
      </c>
      <c r="K16" s="74">
        <v>0.67600000000000005</v>
      </c>
      <c r="L16" s="74">
        <v>-3.5000000000000003E-2</v>
      </c>
      <c r="M16" s="74">
        <v>6.0000000000000001E-3</v>
      </c>
      <c r="N16" s="74">
        <v>2</v>
      </c>
      <c r="O16" s="72" t="s">
        <v>176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1002"/>
  <sheetViews>
    <sheetView workbookViewId="0"/>
  </sheetViews>
  <sheetFormatPr defaultColWidth="12.6640625" defaultRowHeight="15.75" customHeight="1"/>
  <cols>
    <col min="2" max="2" width="22.109375" customWidth="1"/>
  </cols>
  <sheetData>
    <row r="1" spans="1:14">
      <c r="A1" s="1" t="s">
        <v>0</v>
      </c>
      <c r="B1" s="1" t="s">
        <v>1</v>
      </c>
      <c r="I1" s="2"/>
      <c r="J1" s="2"/>
      <c r="K1" s="2"/>
      <c r="N1" s="2"/>
    </row>
    <row r="2" spans="1:14">
      <c r="C2" s="1" t="s">
        <v>2</v>
      </c>
      <c r="D2" s="1" t="s">
        <v>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</row>
    <row r="3" spans="1:14">
      <c r="B3" s="1" t="s">
        <v>61</v>
      </c>
      <c r="C3" s="1">
        <v>4.8449999999999998</v>
      </c>
      <c r="D3" s="1">
        <v>7.5350000000000001</v>
      </c>
      <c r="F3" s="1">
        <v>0.50900000000000001</v>
      </c>
      <c r="G3" s="1">
        <v>0.80200000000000005</v>
      </c>
      <c r="H3" s="1">
        <v>0.83699999999999997</v>
      </c>
      <c r="I3" s="2">
        <v>0.61099999999999999</v>
      </c>
      <c r="J3" s="2">
        <v>0.753</v>
      </c>
      <c r="K3" s="2">
        <v>0.35199999999999998</v>
      </c>
      <c r="L3" s="1">
        <v>0.8</v>
      </c>
      <c r="M3" s="1">
        <v>0.68600000000000005</v>
      </c>
      <c r="N3" s="2">
        <v>0.74299999999999999</v>
      </c>
    </row>
    <row r="4" spans="1:14">
      <c r="A4" s="1" t="s">
        <v>50</v>
      </c>
      <c r="B4" s="1" t="s">
        <v>22</v>
      </c>
      <c r="C4" s="1">
        <v>4.9372999999999996</v>
      </c>
      <c r="D4" s="5">
        <v>7.7317999999999998</v>
      </c>
      <c r="F4" s="1">
        <v>0.49399999999999999</v>
      </c>
      <c r="G4" s="1">
        <v>0.78820000000000001</v>
      </c>
      <c r="H4" s="1">
        <v>0.82589999999999997</v>
      </c>
      <c r="I4" s="2">
        <v>0.60419999999999996</v>
      </c>
      <c r="J4" s="2">
        <v>0.75119999999999998</v>
      </c>
      <c r="K4" s="2">
        <v>0.35399999999999998</v>
      </c>
      <c r="L4" s="5">
        <v>0.79969999999999997</v>
      </c>
      <c r="M4" s="1">
        <v>0.70030000000000003</v>
      </c>
      <c r="N4" s="2">
        <v>0.74260000000000004</v>
      </c>
    </row>
    <row r="5" spans="1:14">
      <c r="B5" s="1" t="s">
        <v>181</v>
      </c>
      <c r="C5" s="1">
        <v>4.9368999999999996</v>
      </c>
      <c r="D5" s="1">
        <v>7.7336999999999998</v>
      </c>
      <c r="F5" s="1">
        <v>0.49309999999999998</v>
      </c>
      <c r="G5" s="1">
        <v>0.79120000000000001</v>
      </c>
      <c r="H5" s="1">
        <v>0.8266</v>
      </c>
      <c r="I5" s="2">
        <v>0.60319999999999996</v>
      </c>
      <c r="J5" s="8">
        <v>0.75170000000000003</v>
      </c>
      <c r="K5" s="8">
        <v>0.36</v>
      </c>
      <c r="L5" s="5">
        <v>0.79969999999999997</v>
      </c>
      <c r="M5" s="5">
        <v>0.70040000000000002</v>
      </c>
      <c r="N5" s="8">
        <v>0.74660000000000004</v>
      </c>
    </row>
    <row r="6" spans="1:14">
      <c r="B6" s="1" t="s">
        <v>182</v>
      </c>
      <c r="C6" s="5">
        <v>4.9367000000000001</v>
      </c>
      <c r="D6" s="1">
        <v>7.7363</v>
      </c>
      <c r="F6" s="5">
        <v>0.49480000000000002</v>
      </c>
      <c r="G6" s="5">
        <v>0.79579999999999995</v>
      </c>
      <c r="H6" s="5">
        <v>0.82689999999999997</v>
      </c>
      <c r="I6" s="8">
        <v>0.60650000000000004</v>
      </c>
      <c r="J6" s="2">
        <v>0.75139999999999996</v>
      </c>
      <c r="K6" s="2">
        <v>0.35599999999999998</v>
      </c>
      <c r="L6" s="1">
        <v>0.79810000000000003</v>
      </c>
      <c r="M6" s="1">
        <v>0.69669999999999999</v>
      </c>
      <c r="N6" s="2">
        <v>0.74419999999999997</v>
      </c>
    </row>
    <row r="7" spans="1:14">
      <c r="I7" s="2"/>
      <c r="J7" s="2"/>
      <c r="K7" s="2"/>
      <c r="N7" s="2"/>
    </row>
    <row r="8" spans="1:14">
      <c r="I8" s="2"/>
      <c r="J8" s="2"/>
      <c r="K8" s="2"/>
      <c r="N8" s="2"/>
    </row>
    <row r="9" spans="1:14">
      <c r="I9" s="2"/>
      <c r="J9" s="2"/>
      <c r="K9" s="2"/>
      <c r="N9" s="2"/>
    </row>
    <row r="10" spans="1:14">
      <c r="A10" s="1" t="s">
        <v>183</v>
      </c>
      <c r="B10" s="1" t="s">
        <v>61</v>
      </c>
      <c r="C10" s="1">
        <v>5.4420000000000002</v>
      </c>
      <c r="D10" s="1">
        <v>8.3460000000000001</v>
      </c>
      <c r="F10" s="1">
        <v>0.505</v>
      </c>
      <c r="G10" s="1">
        <v>0.8</v>
      </c>
      <c r="H10" s="1">
        <v>0.81299999999999994</v>
      </c>
      <c r="I10" s="2">
        <v>0.60099999999999998</v>
      </c>
      <c r="J10" s="2">
        <v>0.76</v>
      </c>
      <c r="K10" s="2">
        <v>0.34799999999999998</v>
      </c>
      <c r="L10" s="1">
        <v>0.79600000000000004</v>
      </c>
      <c r="M10" s="1">
        <v>0.69599999999999995</v>
      </c>
      <c r="N10" s="2">
        <v>0.72599999999999998</v>
      </c>
    </row>
    <row r="11" spans="1:14">
      <c r="B11" s="1" t="s">
        <v>22</v>
      </c>
      <c r="C11" s="1">
        <v>5.7821999999999996</v>
      </c>
      <c r="D11" s="1">
        <v>9.3216000000000001</v>
      </c>
      <c r="F11" s="1">
        <v>0.5</v>
      </c>
      <c r="G11" s="5">
        <v>0.80589999999999995</v>
      </c>
      <c r="H11" s="1">
        <v>0.80879999999999996</v>
      </c>
      <c r="I11" s="2">
        <v>0.59789999999999999</v>
      </c>
      <c r="J11" s="2">
        <v>0.74339999999999995</v>
      </c>
      <c r="K11" s="2">
        <v>0.33</v>
      </c>
      <c r="L11" s="1">
        <v>0.78500000000000003</v>
      </c>
      <c r="M11" s="1">
        <v>0.67500000000000004</v>
      </c>
      <c r="N11" s="8">
        <v>0.73709999999999998</v>
      </c>
    </row>
    <row r="12" spans="1:14">
      <c r="B12" s="1" t="s">
        <v>181</v>
      </c>
      <c r="C12" s="1">
        <v>5.7779999999999996</v>
      </c>
      <c r="D12" s="1">
        <v>9.2721999999999998</v>
      </c>
      <c r="F12" s="1">
        <v>0.5</v>
      </c>
      <c r="G12" s="1">
        <v>0.7954</v>
      </c>
      <c r="H12" s="1">
        <v>0.80940000000000001</v>
      </c>
      <c r="I12" s="1">
        <v>0.59789999999999999</v>
      </c>
      <c r="J12" s="5">
        <v>0.74650000000000005</v>
      </c>
      <c r="K12" s="5">
        <v>0.34</v>
      </c>
      <c r="L12" s="1">
        <v>0.78500000000000003</v>
      </c>
      <c r="M12" s="1">
        <v>0.6714</v>
      </c>
      <c r="N12" s="1">
        <v>0.72370000000000001</v>
      </c>
    </row>
    <row r="13" spans="1:14">
      <c r="B13" s="1" t="s">
        <v>184</v>
      </c>
      <c r="C13" s="5">
        <v>5.7778999999999998</v>
      </c>
      <c r="D13" s="5">
        <v>9.2721999999999998</v>
      </c>
      <c r="F13" s="5">
        <v>0.50590000000000002</v>
      </c>
      <c r="G13" s="1">
        <v>0.80130000000000001</v>
      </c>
      <c r="H13" s="5">
        <v>0.82110000000000005</v>
      </c>
      <c r="I13" s="8">
        <v>0.6</v>
      </c>
      <c r="J13" s="2">
        <v>0.74329999999999996</v>
      </c>
      <c r="K13" s="2">
        <v>0.32600000000000001</v>
      </c>
      <c r="L13" s="5">
        <v>0.78890000000000005</v>
      </c>
      <c r="M13" s="5">
        <v>0.70040000000000002</v>
      </c>
      <c r="N13" s="2">
        <v>0.73399999999999999</v>
      </c>
    </row>
    <row r="14" spans="1:14">
      <c r="I14" s="2"/>
      <c r="J14" s="2"/>
      <c r="K14" s="2"/>
      <c r="N14" s="2"/>
    </row>
    <row r="15" spans="1:14">
      <c r="C15" s="46"/>
      <c r="D15" s="46"/>
      <c r="I15" s="2"/>
      <c r="J15" s="2"/>
      <c r="K15" s="2"/>
      <c r="N15" s="2"/>
    </row>
    <row r="16" spans="1:14">
      <c r="A16" s="1" t="s">
        <v>185</v>
      </c>
      <c r="B16" s="1" t="s">
        <v>61</v>
      </c>
      <c r="C16" s="49">
        <f>23.1382/4</f>
        <v>5.7845500000000003</v>
      </c>
      <c r="D16" s="49">
        <f>36.1769/4</f>
        <v>9.0442250000000008</v>
      </c>
      <c r="F16" s="1">
        <v>0.4803</v>
      </c>
      <c r="G16" s="1">
        <v>0.80420000000000003</v>
      </c>
      <c r="H16" s="1">
        <v>0.84609999999999996</v>
      </c>
      <c r="I16" s="2">
        <v>0.59970000000000001</v>
      </c>
      <c r="J16" s="2">
        <v>0.71760000000000002</v>
      </c>
      <c r="K16" s="2">
        <v>0.33600000000000002</v>
      </c>
      <c r="L16" s="1">
        <v>0.78669999999999995</v>
      </c>
      <c r="M16" s="1">
        <v>0.81220000000000003</v>
      </c>
      <c r="N16" s="2">
        <v>0.73</v>
      </c>
    </row>
    <row r="17" spans="1:27">
      <c r="B17" s="1" t="s">
        <v>22</v>
      </c>
      <c r="C17" s="49">
        <f>23.4428/4</f>
        <v>5.8606999999999996</v>
      </c>
      <c r="D17" s="49">
        <f>36.7397/4</f>
        <v>9.1849249999999998</v>
      </c>
      <c r="F17" s="1">
        <v>0.46750000000000003</v>
      </c>
      <c r="G17" s="1">
        <v>0.79079999999999995</v>
      </c>
      <c r="H17" s="5">
        <v>0.83940000000000003</v>
      </c>
      <c r="I17" s="2">
        <v>0.59330000000000005</v>
      </c>
      <c r="J17" s="2">
        <v>0.69899999999999995</v>
      </c>
      <c r="K17" s="8">
        <v>0.33800000000000002</v>
      </c>
      <c r="L17" s="5">
        <v>0.78610000000000002</v>
      </c>
      <c r="M17" s="5">
        <v>0.83030000000000004</v>
      </c>
      <c r="N17" s="2">
        <v>0.70709999999999995</v>
      </c>
    </row>
    <row r="18" spans="1:27">
      <c r="B18" s="1" t="s">
        <v>181</v>
      </c>
      <c r="C18" s="48">
        <f>23.3717/4</f>
        <v>5.8429250000000001</v>
      </c>
      <c r="D18" s="46">
        <f>36.635/4</f>
        <v>9.1587499999999995</v>
      </c>
      <c r="F18" s="5">
        <v>0.47010000000000002</v>
      </c>
      <c r="G18" s="1">
        <v>0.78990000000000005</v>
      </c>
      <c r="H18" s="1">
        <v>0.8357</v>
      </c>
      <c r="I18" s="5">
        <v>0.59630000000000005</v>
      </c>
      <c r="J18" s="1">
        <v>0.69679999999999997</v>
      </c>
      <c r="K18" s="1">
        <v>0.308</v>
      </c>
      <c r="L18" s="1">
        <v>0.78669999999999995</v>
      </c>
      <c r="M18" s="1">
        <v>0.81940000000000002</v>
      </c>
      <c r="N18" s="1">
        <v>0.71740000000000004</v>
      </c>
    </row>
    <row r="19" spans="1:27">
      <c r="B19" s="1" t="s">
        <v>186</v>
      </c>
      <c r="C19" s="57">
        <f>23.4247/4</f>
        <v>5.8561750000000004</v>
      </c>
      <c r="D19" s="48">
        <f>36.6327/4</f>
        <v>9.158175</v>
      </c>
      <c r="F19" s="1">
        <v>0.46839999999999998</v>
      </c>
      <c r="G19" s="5">
        <v>0.79290000000000005</v>
      </c>
      <c r="H19" s="1">
        <v>0.83760000000000001</v>
      </c>
      <c r="I19" s="2">
        <v>0.59430000000000005</v>
      </c>
      <c r="J19" s="8">
        <v>0.70440000000000003</v>
      </c>
      <c r="K19" s="2">
        <v>0.33400000000000002</v>
      </c>
      <c r="L19" s="1">
        <v>0.78069999999999995</v>
      </c>
      <c r="M19" s="1">
        <v>0.80500000000000005</v>
      </c>
      <c r="N19" s="8">
        <v>0.7198</v>
      </c>
    </row>
    <row r="20" spans="1:27">
      <c r="A20" s="80"/>
      <c r="B20" s="80"/>
      <c r="C20" s="80"/>
      <c r="D20" s="80"/>
      <c r="E20" s="80"/>
      <c r="F20" s="80"/>
      <c r="G20" s="80"/>
      <c r="H20" s="80"/>
      <c r="I20" s="81"/>
      <c r="J20" s="81"/>
      <c r="K20" s="81"/>
      <c r="L20" s="80"/>
      <c r="M20" s="80"/>
      <c r="N20" s="81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</row>
    <row r="21" spans="1:27">
      <c r="I21" s="2"/>
      <c r="J21" s="2"/>
      <c r="K21" s="2"/>
      <c r="N21" s="2"/>
    </row>
    <row r="22" spans="1:27">
      <c r="I22" s="2"/>
      <c r="J22" s="2"/>
      <c r="K22" s="2"/>
      <c r="N22" s="2"/>
    </row>
    <row r="23" spans="1:27">
      <c r="I23" s="2"/>
      <c r="J23" s="2"/>
      <c r="K23" s="2"/>
      <c r="N23" s="2"/>
    </row>
    <row r="24" spans="1:27">
      <c r="I24" s="2"/>
      <c r="J24" s="2"/>
      <c r="K24" s="2"/>
      <c r="N24" s="2"/>
    </row>
    <row r="25" spans="1:27">
      <c r="I25" s="2"/>
      <c r="J25" s="2"/>
      <c r="K25" s="2"/>
      <c r="N25" s="2"/>
    </row>
    <row r="26" spans="1:27">
      <c r="I26" s="2"/>
      <c r="J26" s="2"/>
      <c r="K26" s="2"/>
      <c r="N26" s="2"/>
    </row>
    <row r="27" spans="1:27">
      <c r="I27" s="2"/>
      <c r="J27" s="2"/>
      <c r="K27" s="2"/>
      <c r="N27" s="2"/>
    </row>
    <row r="28" spans="1:27">
      <c r="I28" s="2"/>
      <c r="J28" s="2"/>
      <c r="K28" s="2"/>
      <c r="N28" s="2"/>
    </row>
    <row r="29" spans="1:27">
      <c r="I29" s="2"/>
      <c r="J29" s="2"/>
      <c r="K29" s="2"/>
      <c r="N29" s="2"/>
    </row>
    <row r="30" spans="1:27">
      <c r="I30" s="2"/>
      <c r="J30" s="2"/>
      <c r="K30" s="2"/>
      <c r="N30" s="2"/>
    </row>
    <row r="31" spans="1:27">
      <c r="I31" s="2"/>
      <c r="J31" s="2"/>
      <c r="K31" s="2"/>
      <c r="N31" s="2"/>
    </row>
    <row r="32" spans="1:27">
      <c r="I32" s="2"/>
      <c r="J32" s="2"/>
      <c r="K32" s="2"/>
      <c r="N32" s="2"/>
    </row>
    <row r="33" spans="9:14">
      <c r="I33" s="2"/>
      <c r="J33" s="2"/>
      <c r="K33" s="2"/>
      <c r="N33" s="2"/>
    </row>
    <row r="34" spans="9:14">
      <c r="I34" s="2"/>
      <c r="J34" s="2"/>
      <c r="K34" s="2"/>
      <c r="N34" s="2"/>
    </row>
    <row r="35" spans="9:14">
      <c r="I35" s="2"/>
      <c r="J35" s="2"/>
      <c r="K35" s="2"/>
      <c r="N35" s="2"/>
    </row>
    <row r="36" spans="9:14">
      <c r="I36" s="2"/>
      <c r="J36" s="2"/>
      <c r="K36" s="2"/>
      <c r="N36" s="2"/>
    </row>
    <row r="37" spans="9:14">
      <c r="I37" s="2"/>
      <c r="J37" s="2"/>
      <c r="K37" s="2"/>
      <c r="N37" s="2"/>
    </row>
    <row r="38" spans="9:14">
      <c r="I38" s="2"/>
      <c r="J38" s="2"/>
      <c r="K38" s="2"/>
      <c r="N38" s="2"/>
    </row>
    <row r="39" spans="9:14">
      <c r="I39" s="2"/>
      <c r="J39" s="2"/>
      <c r="K39" s="2"/>
      <c r="N39" s="2"/>
    </row>
    <row r="40" spans="9:14">
      <c r="I40" s="2"/>
      <c r="J40" s="2"/>
      <c r="K40" s="2"/>
      <c r="N40" s="2"/>
    </row>
    <row r="41" spans="9:14">
      <c r="I41" s="2"/>
      <c r="J41" s="2"/>
      <c r="K41" s="2"/>
      <c r="N41" s="2"/>
    </row>
    <row r="42" spans="9:14">
      <c r="I42" s="2"/>
      <c r="J42" s="2"/>
      <c r="K42" s="2"/>
      <c r="N42" s="2"/>
    </row>
    <row r="43" spans="9:14">
      <c r="I43" s="2"/>
      <c r="J43" s="2"/>
      <c r="K43" s="2"/>
      <c r="N43" s="2"/>
    </row>
    <row r="44" spans="9:14">
      <c r="I44" s="2"/>
      <c r="J44" s="2"/>
      <c r="K44" s="2"/>
      <c r="N44" s="2"/>
    </row>
    <row r="45" spans="9:14">
      <c r="I45" s="2"/>
      <c r="J45" s="2"/>
      <c r="K45" s="2"/>
      <c r="N45" s="2"/>
    </row>
    <row r="46" spans="9:14">
      <c r="I46" s="2"/>
      <c r="J46" s="2"/>
      <c r="K46" s="2"/>
      <c r="N46" s="2"/>
    </row>
    <row r="47" spans="9:14">
      <c r="I47" s="2"/>
      <c r="J47" s="2"/>
      <c r="K47" s="2"/>
      <c r="N47" s="2"/>
    </row>
    <row r="48" spans="9:14">
      <c r="I48" s="2"/>
      <c r="J48" s="2"/>
      <c r="K48" s="2"/>
      <c r="N48" s="2"/>
    </row>
    <row r="49" spans="9:14">
      <c r="I49" s="2"/>
      <c r="J49" s="2"/>
      <c r="K49" s="2"/>
      <c r="N49" s="2"/>
    </row>
    <row r="50" spans="9:14">
      <c r="I50" s="2"/>
      <c r="J50" s="2"/>
      <c r="K50" s="2"/>
      <c r="N50" s="2"/>
    </row>
    <row r="51" spans="9:14">
      <c r="I51" s="2"/>
      <c r="J51" s="2"/>
      <c r="K51" s="2"/>
      <c r="N51" s="2"/>
    </row>
    <row r="52" spans="9:14">
      <c r="I52" s="2"/>
      <c r="J52" s="2"/>
      <c r="K52" s="2"/>
      <c r="N52" s="2"/>
    </row>
    <row r="53" spans="9:14">
      <c r="I53" s="2"/>
      <c r="J53" s="2"/>
      <c r="K53" s="2"/>
      <c r="N53" s="2"/>
    </row>
    <row r="54" spans="9:14">
      <c r="I54" s="2"/>
      <c r="J54" s="2"/>
      <c r="K54" s="2"/>
      <c r="N54" s="2"/>
    </row>
    <row r="55" spans="9:14">
      <c r="I55" s="2"/>
      <c r="J55" s="2"/>
      <c r="K55" s="2"/>
      <c r="N55" s="2"/>
    </row>
    <row r="56" spans="9:14">
      <c r="I56" s="2"/>
      <c r="J56" s="2"/>
      <c r="K56" s="2"/>
      <c r="N56" s="2"/>
    </row>
    <row r="57" spans="9:14">
      <c r="I57" s="2"/>
      <c r="J57" s="2"/>
      <c r="K57" s="2"/>
      <c r="N57" s="2"/>
    </row>
    <row r="58" spans="9:14">
      <c r="I58" s="2"/>
      <c r="J58" s="2"/>
      <c r="K58" s="2"/>
      <c r="N58" s="2"/>
    </row>
    <row r="59" spans="9:14">
      <c r="I59" s="2"/>
      <c r="J59" s="2"/>
      <c r="K59" s="2"/>
      <c r="N59" s="2"/>
    </row>
    <row r="60" spans="9:14">
      <c r="I60" s="2"/>
      <c r="J60" s="2"/>
      <c r="K60" s="2"/>
      <c r="N60" s="2"/>
    </row>
    <row r="61" spans="9:14">
      <c r="I61" s="2"/>
      <c r="J61" s="2"/>
      <c r="K61" s="2"/>
      <c r="N61" s="2"/>
    </row>
    <row r="62" spans="9:14">
      <c r="I62" s="2"/>
      <c r="J62" s="2"/>
      <c r="K62" s="2"/>
      <c r="N62" s="2"/>
    </row>
    <row r="63" spans="9:14">
      <c r="I63" s="2"/>
      <c r="J63" s="2"/>
      <c r="K63" s="2"/>
      <c r="N63" s="2"/>
    </row>
    <row r="64" spans="9:14">
      <c r="I64" s="2"/>
      <c r="J64" s="2"/>
      <c r="K64" s="2"/>
      <c r="N64" s="2"/>
    </row>
    <row r="65" spans="9:14">
      <c r="I65" s="2"/>
      <c r="J65" s="2"/>
      <c r="K65" s="2"/>
      <c r="N65" s="2"/>
    </row>
    <row r="66" spans="9:14">
      <c r="I66" s="2"/>
      <c r="J66" s="2"/>
      <c r="K66" s="2"/>
      <c r="N66" s="2"/>
    </row>
    <row r="67" spans="9:14">
      <c r="I67" s="2"/>
      <c r="J67" s="2"/>
      <c r="K67" s="2"/>
      <c r="N67" s="2"/>
    </row>
    <row r="68" spans="9:14">
      <c r="I68" s="2"/>
      <c r="J68" s="2"/>
      <c r="K68" s="2"/>
      <c r="N68" s="2"/>
    </row>
    <row r="69" spans="9:14">
      <c r="I69" s="2"/>
      <c r="J69" s="2"/>
      <c r="K69" s="2"/>
      <c r="N69" s="2"/>
    </row>
    <row r="70" spans="9:14">
      <c r="I70" s="2"/>
      <c r="J70" s="2"/>
      <c r="K70" s="2"/>
      <c r="N70" s="2"/>
    </row>
    <row r="71" spans="9:14">
      <c r="I71" s="2"/>
      <c r="J71" s="2"/>
      <c r="K71" s="2"/>
      <c r="N71" s="2"/>
    </row>
    <row r="72" spans="9:14">
      <c r="I72" s="2"/>
      <c r="J72" s="2"/>
      <c r="K72" s="2"/>
      <c r="N72" s="2"/>
    </row>
    <row r="73" spans="9:14">
      <c r="I73" s="2"/>
      <c r="J73" s="2"/>
      <c r="K73" s="2"/>
      <c r="N73" s="2"/>
    </row>
    <row r="74" spans="9:14">
      <c r="I74" s="2"/>
      <c r="J74" s="2"/>
      <c r="K74" s="2"/>
      <c r="N74" s="2"/>
    </row>
    <row r="75" spans="9:14">
      <c r="I75" s="2"/>
      <c r="J75" s="2"/>
      <c r="K75" s="2"/>
      <c r="N75" s="2"/>
    </row>
    <row r="76" spans="9:14">
      <c r="I76" s="2"/>
      <c r="J76" s="2"/>
      <c r="K76" s="2"/>
      <c r="N76" s="2"/>
    </row>
    <row r="77" spans="9:14">
      <c r="I77" s="2"/>
      <c r="J77" s="2"/>
      <c r="K77" s="2"/>
      <c r="N77" s="2"/>
    </row>
    <row r="78" spans="9:14">
      <c r="I78" s="2"/>
      <c r="J78" s="2"/>
      <c r="K78" s="2"/>
      <c r="N78" s="2"/>
    </row>
    <row r="79" spans="9:14">
      <c r="I79" s="2"/>
      <c r="J79" s="2"/>
      <c r="K79" s="2"/>
      <c r="N79" s="2"/>
    </row>
    <row r="80" spans="9:14">
      <c r="I80" s="2"/>
      <c r="J80" s="2"/>
      <c r="K80" s="2"/>
      <c r="N80" s="2"/>
    </row>
    <row r="81" spans="9:14">
      <c r="I81" s="2"/>
      <c r="J81" s="2"/>
      <c r="K81" s="2"/>
      <c r="N81" s="2"/>
    </row>
    <row r="82" spans="9:14">
      <c r="I82" s="2"/>
      <c r="J82" s="2"/>
      <c r="K82" s="2"/>
      <c r="N82" s="2"/>
    </row>
    <row r="83" spans="9:14">
      <c r="I83" s="2"/>
      <c r="J83" s="2"/>
      <c r="K83" s="2"/>
      <c r="N83" s="2"/>
    </row>
    <row r="84" spans="9:14">
      <c r="I84" s="2"/>
      <c r="J84" s="2"/>
      <c r="K84" s="2"/>
      <c r="N84" s="2"/>
    </row>
    <row r="85" spans="9:14">
      <c r="I85" s="2"/>
      <c r="J85" s="2"/>
      <c r="K85" s="2"/>
      <c r="N85" s="2"/>
    </row>
    <row r="86" spans="9:14">
      <c r="I86" s="2"/>
      <c r="J86" s="2"/>
      <c r="K86" s="2"/>
      <c r="N86" s="2"/>
    </row>
    <row r="87" spans="9:14">
      <c r="I87" s="2"/>
      <c r="J87" s="2"/>
      <c r="K87" s="2"/>
      <c r="N87" s="2"/>
    </row>
    <row r="88" spans="9:14">
      <c r="I88" s="2"/>
      <c r="J88" s="2"/>
      <c r="K88" s="2"/>
      <c r="N88" s="2"/>
    </row>
    <row r="89" spans="9:14">
      <c r="I89" s="2"/>
      <c r="J89" s="2"/>
      <c r="K89" s="2"/>
      <c r="N89" s="2"/>
    </row>
    <row r="90" spans="9:14">
      <c r="I90" s="2"/>
      <c r="J90" s="2"/>
      <c r="K90" s="2"/>
      <c r="N90" s="2"/>
    </row>
    <row r="91" spans="9:14">
      <c r="I91" s="2"/>
      <c r="J91" s="2"/>
      <c r="K91" s="2"/>
      <c r="N91" s="2"/>
    </row>
    <row r="92" spans="9:14">
      <c r="I92" s="2"/>
      <c r="J92" s="2"/>
      <c r="K92" s="2"/>
      <c r="N92" s="2"/>
    </row>
    <row r="93" spans="9:14">
      <c r="I93" s="2"/>
      <c r="J93" s="2"/>
      <c r="K93" s="2"/>
      <c r="N93" s="2"/>
    </row>
    <row r="94" spans="9:14">
      <c r="I94" s="2"/>
      <c r="J94" s="2"/>
      <c r="K94" s="2"/>
      <c r="N94" s="2"/>
    </row>
    <row r="95" spans="9:14">
      <c r="I95" s="2"/>
      <c r="J95" s="2"/>
      <c r="K95" s="2"/>
      <c r="N95" s="2"/>
    </row>
    <row r="96" spans="9:14">
      <c r="I96" s="2"/>
      <c r="J96" s="2"/>
      <c r="K96" s="2"/>
      <c r="N96" s="2"/>
    </row>
    <row r="97" spans="9:14">
      <c r="I97" s="2"/>
      <c r="J97" s="2"/>
      <c r="K97" s="2"/>
      <c r="N97" s="2"/>
    </row>
    <row r="98" spans="9:14">
      <c r="I98" s="2"/>
      <c r="J98" s="2"/>
      <c r="K98" s="2"/>
      <c r="N98" s="2"/>
    </row>
    <row r="99" spans="9:14">
      <c r="I99" s="2"/>
      <c r="J99" s="2"/>
      <c r="K99" s="2"/>
      <c r="N99" s="2"/>
    </row>
    <row r="100" spans="9:14">
      <c r="I100" s="2"/>
      <c r="J100" s="2"/>
      <c r="K100" s="2"/>
      <c r="N100" s="2"/>
    </row>
    <row r="101" spans="9:14">
      <c r="I101" s="2"/>
      <c r="J101" s="2"/>
      <c r="K101" s="2"/>
      <c r="N101" s="2"/>
    </row>
    <row r="102" spans="9:14">
      <c r="I102" s="2"/>
      <c r="J102" s="2"/>
      <c r="K102" s="2"/>
      <c r="N102" s="2"/>
    </row>
    <row r="103" spans="9:14">
      <c r="I103" s="2"/>
      <c r="J103" s="2"/>
      <c r="K103" s="2"/>
      <c r="N103" s="2"/>
    </row>
    <row r="104" spans="9:14">
      <c r="I104" s="2"/>
      <c r="J104" s="2"/>
      <c r="K104" s="2"/>
      <c r="N104" s="2"/>
    </row>
    <row r="105" spans="9:14">
      <c r="I105" s="2"/>
      <c r="J105" s="2"/>
      <c r="K105" s="2"/>
      <c r="N105" s="2"/>
    </row>
    <row r="106" spans="9:14">
      <c r="I106" s="2"/>
      <c r="J106" s="2"/>
      <c r="K106" s="2"/>
      <c r="N106" s="2"/>
    </row>
    <row r="107" spans="9:14">
      <c r="I107" s="2"/>
      <c r="J107" s="2"/>
      <c r="K107" s="2"/>
      <c r="N107" s="2"/>
    </row>
    <row r="108" spans="9:14">
      <c r="I108" s="2"/>
      <c r="J108" s="2"/>
      <c r="K108" s="2"/>
      <c r="N108" s="2"/>
    </row>
    <row r="109" spans="9:14">
      <c r="I109" s="2"/>
      <c r="J109" s="2"/>
      <c r="K109" s="2"/>
      <c r="N109" s="2"/>
    </row>
    <row r="110" spans="9:14">
      <c r="I110" s="2"/>
      <c r="J110" s="2"/>
      <c r="K110" s="2"/>
      <c r="N110" s="2"/>
    </row>
    <row r="111" spans="9:14">
      <c r="I111" s="2"/>
      <c r="J111" s="2"/>
      <c r="K111" s="2"/>
      <c r="N111" s="2"/>
    </row>
    <row r="112" spans="9:14">
      <c r="I112" s="2"/>
      <c r="J112" s="2"/>
      <c r="K112" s="2"/>
      <c r="N112" s="2"/>
    </row>
    <row r="113" spans="9:14">
      <c r="I113" s="2"/>
      <c r="J113" s="2"/>
      <c r="K113" s="2"/>
      <c r="N113" s="2"/>
    </row>
    <row r="114" spans="9:14">
      <c r="I114" s="2"/>
      <c r="J114" s="2"/>
      <c r="K114" s="2"/>
      <c r="N114" s="2"/>
    </row>
    <row r="115" spans="9:14">
      <c r="I115" s="2"/>
      <c r="J115" s="2"/>
      <c r="K115" s="2"/>
      <c r="N115" s="2"/>
    </row>
    <row r="116" spans="9:14">
      <c r="I116" s="2"/>
      <c r="J116" s="2"/>
      <c r="K116" s="2"/>
      <c r="N116" s="2"/>
    </row>
    <row r="117" spans="9:14">
      <c r="I117" s="2"/>
      <c r="J117" s="2"/>
      <c r="K117" s="2"/>
      <c r="N117" s="2"/>
    </row>
    <row r="118" spans="9:14">
      <c r="I118" s="2"/>
      <c r="J118" s="2"/>
      <c r="K118" s="2"/>
      <c r="N118" s="2"/>
    </row>
    <row r="119" spans="9:14">
      <c r="I119" s="2"/>
      <c r="J119" s="2"/>
      <c r="K119" s="2"/>
      <c r="N119" s="2"/>
    </row>
    <row r="120" spans="9:14">
      <c r="I120" s="2"/>
      <c r="J120" s="2"/>
      <c r="K120" s="2"/>
      <c r="N120" s="2"/>
    </row>
    <row r="121" spans="9:14">
      <c r="I121" s="2"/>
      <c r="J121" s="2"/>
      <c r="K121" s="2"/>
      <c r="N121" s="2"/>
    </row>
    <row r="122" spans="9:14">
      <c r="I122" s="2"/>
      <c r="J122" s="2"/>
      <c r="K122" s="2"/>
      <c r="N122" s="2"/>
    </row>
    <row r="123" spans="9:14">
      <c r="I123" s="2"/>
      <c r="J123" s="2"/>
      <c r="K123" s="2"/>
      <c r="N123" s="2"/>
    </row>
    <row r="124" spans="9:14">
      <c r="I124" s="2"/>
      <c r="J124" s="2"/>
      <c r="K124" s="2"/>
      <c r="N124" s="2"/>
    </row>
    <row r="125" spans="9:14">
      <c r="I125" s="2"/>
      <c r="J125" s="2"/>
      <c r="K125" s="2"/>
      <c r="N125" s="2"/>
    </row>
    <row r="126" spans="9:14">
      <c r="I126" s="2"/>
      <c r="J126" s="2"/>
      <c r="K126" s="2"/>
      <c r="N126" s="2"/>
    </row>
    <row r="127" spans="9:14">
      <c r="I127" s="2"/>
      <c r="J127" s="2"/>
      <c r="K127" s="2"/>
      <c r="N127" s="2"/>
    </row>
    <row r="128" spans="9:14">
      <c r="I128" s="2"/>
      <c r="J128" s="2"/>
      <c r="K128" s="2"/>
      <c r="N128" s="2"/>
    </row>
    <row r="129" spans="9:14">
      <c r="I129" s="2"/>
      <c r="J129" s="2"/>
      <c r="K129" s="2"/>
      <c r="N129" s="2"/>
    </row>
    <row r="130" spans="9:14">
      <c r="I130" s="2"/>
      <c r="J130" s="2"/>
      <c r="K130" s="2"/>
      <c r="N130" s="2"/>
    </row>
    <row r="131" spans="9:14">
      <c r="I131" s="2"/>
      <c r="J131" s="2"/>
      <c r="K131" s="2"/>
      <c r="N131" s="2"/>
    </row>
    <row r="132" spans="9:14">
      <c r="I132" s="2"/>
      <c r="J132" s="2"/>
      <c r="K132" s="2"/>
      <c r="N132" s="2"/>
    </row>
    <row r="133" spans="9:14">
      <c r="I133" s="2"/>
      <c r="J133" s="2"/>
      <c r="K133" s="2"/>
      <c r="N133" s="2"/>
    </row>
    <row r="134" spans="9:14">
      <c r="I134" s="2"/>
      <c r="J134" s="2"/>
      <c r="K134" s="2"/>
      <c r="N134" s="2"/>
    </row>
    <row r="135" spans="9:14">
      <c r="I135" s="2"/>
      <c r="J135" s="2"/>
      <c r="K135" s="2"/>
      <c r="N135" s="2"/>
    </row>
    <row r="136" spans="9:14">
      <c r="I136" s="2"/>
      <c r="J136" s="2"/>
      <c r="K136" s="2"/>
      <c r="N136" s="2"/>
    </row>
    <row r="137" spans="9:14">
      <c r="I137" s="2"/>
      <c r="J137" s="2"/>
      <c r="K137" s="2"/>
      <c r="N137" s="2"/>
    </row>
    <row r="138" spans="9:14">
      <c r="I138" s="2"/>
      <c r="J138" s="2"/>
      <c r="K138" s="2"/>
      <c r="N138" s="2"/>
    </row>
    <row r="139" spans="9:14">
      <c r="I139" s="2"/>
      <c r="J139" s="2"/>
      <c r="K139" s="2"/>
      <c r="N139" s="2"/>
    </row>
    <row r="140" spans="9:14">
      <c r="I140" s="2"/>
      <c r="J140" s="2"/>
      <c r="K140" s="2"/>
      <c r="N140" s="2"/>
    </row>
    <row r="141" spans="9:14">
      <c r="I141" s="2"/>
      <c r="J141" s="2"/>
      <c r="K141" s="2"/>
      <c r="N141" s="2"/>
    </row>
    <row r="142" spans="9:14">
      <c r="I142" s="2"/>
      <c r="J142" s="2"/>
      <c r="K142" s="2"/>
      <c r="N142" s="2"/>
    </row>
    <row r="143" spans="9:14">
      <c r="I143" s="2"/>
      <c r="J143" s="2"/>
      <c r="K143" s="2"/>
      <c r="N143" s="2"/>
    </row>
    <row r="144" spans="9:14">
      <c r="I144" s="2"/>
      <c r="J144" s="2"/>
      <c r="K144" s="2"/>
      <c r="N144" s="2"/>
    </row>
    <row r="145" spans="9:14">
      <c r="I145" s="2"/>
      <c r="J145" s="2"/>
      <c r="K145" s="2"/>
      <c r="N145" s="2"/>
    </row>
    <row r="146" spans="9:14">
      <c r="I146" s="2"/>
      <c r="J146" s="2"/>
      <c r="K146" s="2"/>
      <c r="N146" s="2"/>
    </row>
    <row r="147" spans="9:14">
      <c r="I147" s="2"/>
      <c r="J147" s="2"/>
      <c r="K147" s="2"/>
      <c r="N147" s="2"/>
    </row>
    <row r="148" spans="9:14">
      <c r="I148" s="2"/>
      <c r="J148" s="2"/>
      <c r="K148" s="2"/>
      <c r="N148" s="2"/>
    </row>
    <row r="149" spans="9:14">
      <c r="I149" s="2"/>
      <c r="J149" s="2"/>
      <c r="K149" s="2"/>
      <c r="N149" s="2"/>
    </row>
    <row r="150" spans="9:14">
      <c r="I150" s="2"/>
      <c r="J150" s="2"/>
      <c r="K150" s="2"/>
      <c r="N150" s="2"/>
    </row>
    <row r="151" spans="9:14">
      <c r="I151" s="2"/>
      <c r="J151" s="2"/>
      <c r="K151" s="2"/>
      <c r="N151" s="2"/>
    </row>
    <row r="152" spans="9:14">
      <c r="I152" s="2"/>
      <c r="J152" s="2"/>
      <c r="K152" s="2"/>
      <c r="N152" s="2"/>
    </row>
    <row r="153" spans="9:14">
      <c r="I153" s="2"/>
      <c r="J153" s="2"/>
      <c r="K153" s="2"/>
      <c r="N153" s="2"/>
    </row>
    <row r="154" spans="9:14">
      <c r="I154" s="2"/>
      <c r="J154" s="2"/>
      <c r="K154" s="2"/>
      <c r="N154" s="2"/>
    </row>
    <row r="155" spans="9:14">
      <c r="I155" s="2"/>
      <c r="J155" s="2"/>
      <c r="K155" s="2"/>
      <c r="N155" s="2"/>
    </row>
    <row r="156" spans="9:14">
      <c r="I156" s="2"/>
      <c r="J156" s="2"/>
      <c r="K156" s="2"/>
      <c r="N156" s="2"/>
    </row>
    <row r="157" spans="9:14">
      <c r="I157" s="2"/>
      <c r="J157" s="2"/>
      <c r="K157" s="2"/>
      <c r="N157" s="2"/>
    </row>
    <row r="158" spans="9:14">
      <c r="I158" s="2"/>
      <c r="J158" s="2"/>
      <c r="K158" s="2"/>
      <c r="N158" s="2"/>
    </row>
    <row r="159" spans="9:14">
      <c r="I159" s="2"/>
      <c r="J159" s="2"/>
      <c r="K159" s="2"/>
      <c r="N159" s="2"/>
    </row>
    <row r="160" spans="9:14">
      <c r="I160" s="2"/>
      <c r="J160" s="2"/>
      <c r="K160" s="2"/>
      <c r="N160" s="2"/>
    </row>
    <row r="161" spans="9:14">
      <c r="I161" s="2"/>
      <c r="J161" s="2"/>
      <c r="K161" s="2"/>
      <c r="N161" s="2"/>
    </row>
    <row r="162" spans="9:14">
      <c r="I162" s="2"/>
      <c r="J162" s="2"/>
      <c r="K162" s="2"/>
      <c r="N162" s="2"/>
    </row>
    <row r="163" spans="9:14">
      <c r="I163" s="2"/>
      <c r="J163" s="2"/>
      <c r="K163" s="2"/>
      <c r="N163" s="2"/>
    </row>
    <row r="164" spans="9:14">
      <c r="I164" s="2"/>
      <c r="J164" s="2"/>
      <c r="K164" s="2"/>
      <c r="N164" s="2"/>
    </row>
    <row r="165" spans="9:14">
      <c r="I165" s="2"/>
      <c r="J165" s="2"/>
      <c r="K165" s="2"/>
      <c r="N165" s="2"/>
    </row>
    <row r="166" spans="9:14">
      <c r="I166" s="2"/>
      <c r="J166" s="2"/>
      <c r="K166" s="2"/>
      <c r="N166" s="2"/>
    </row>
    <row r="167" spans="9:14">
      <c r="I167" s="2"/>
      <c r="J167" s="2"/>
      <c r="K167" s="2"/>
      <c r="N167" s="2"/>
    </row>
    <row r="168" spans="9:14">
      <c r="I168" s="2"/>
      <c r="J168" s="2"/>
      <c r="K168" s="2"/>
      <c r="N168" s="2"/>
    </row>
    <row r="169" spans="9:14">
      <c r="I169" s="2"/>
      <c r="J169" s="2"/>
      <c r="K169" s="2"/>
      <c r="N169" s="2"/>
    </row>
    <row r="170" spans="9:14">
      <c r="I170" s="2"/>
      <c r="J170" s="2"/>
      <c r="K170" s="2"/>
      <c r="N170" s="2"/>
    </row>
    <row r="171" spans="9:14">
      <c r="I171" s="2"/>
      <c r="J171" s="2"/>
      <c r="K171" s="2"/>
      <c r="N171" s="2"/>
    </row>
    <row r="172" spans="9:14">
      <c r="I172" s="2"/>
      <c r="J172" s="2"/>
      <c r="K172" s="2"/>
      <c r="N172" s="2"/>
    </row>
    <row r="173" spans="9:14">
      <c r="I173" s="2"/>
      <c r="J173" s="2"/>
      <c r="K173" s="2"/>
      <c r="N173" s="2"/>
    </row>
    <row r="174" spans="9:14">
      <c r="I174" s="2"/>
      <c r="J174" s="2"/>
      <c r="K174" s="2"/>
      <c r="N174" s="2"/>
    </row>
    <row r="175" spans="9:14">
      <c r="I175" s="2"/>
      <c r="J175" s="2"/>
      <c r="K175" s="2"/>
      <c r="N175" s="2"/>
    </row>
    <row r="176" spans="9:14">
      <c r="I176" s="2"/>
      <c r="J176" s="2"/>
      <c r="K176" s="2"/>
      <c r="N176" s="2"/>
    </row>
    <row r="177" spans="9:14">
      <c r="I177" s="2"/>
      <c r="J177" s="2"/>
      <c r="K177" s="2"/>
      <c r="N177" s="2"/>
    </row>
    <row r="178" spans="9:14">
      <c r="I178" s="2"/>
      <c r="J178" s="2"/>
      <c r="K178" s="2"/>
      <c r="N178" s="2"/>
    </row>
    <row r="179" spans="9:14">
      <c r="I179" s="2"/>
      <c r="J179" s="2"/>
      <c r="K179" s="2"/>
      <c r="N179" s="2"/>
    </row>
    <row r="180" spans="9:14">
      <c r="I180" s="2"/>
      <c r="J180" s="2"/>
      <c r="K180" s="2"/>
      <c r="N180" s="2"/>
    </row>
    <row r="181" spans="9:14">
      <c r="I181" s="2"/>
      <c r="J181" s="2"/>
      <c r="K181" s="2"/>
      <c r="N181" s="2"/>
    </row>
    <row r="182" spans="9:14">
      <c r="I182" s="2"/>
      <c r="J182" s="2"/>
      <c r="K182" s="2"/>
      <c r="N182" s="2"/>
    </row>
    <row r="183" spans="9:14">
      <c r="I183" s="2"/>
      <c r="J183" s="2"/>
      <c r="K183" s="2"/>
      <c r="N183" s="2"/>
    </row>
    <row r="184" spans="9:14">
      <c r="I184" s="2"/>
      <c r="J184" s="2"/>
      <c r="K184" s="2"/>
      <c r="N184" s="2"/>
    </row>
    <row r="185" spans="9:14">
      <c r="I185" s="2"/>
      <c r="J185" s="2"/>
      <c r="K185" s="2"/>
      <c r="N185" s="2"/>
    </row>
    <row r="186" spans="9:14">
      <c r="I186" s="2"/>
      <c r="J186" s="2"/>
      <c r="K186" s="2"/>
      <c r="N186" s="2"/>
    </row>
    <row r="187" spans="9:14">
      <c r="I187" s="2"/>
      <c r="J187" s="2"/>
      <c r="K187" s="2"/>
      <c r="N187" s="2"/>
    </row>
    <row r="188" spans="9:14">
      <c r="I188" s="2"/>
      <c r="J188" s="2"/>
      <c r="K188" s="2"/>
      <c r="N188" s="2"/>
    </row>
    <row r="189" spans="9:14">
      <c r="I189" s="2"/>
      <c r="J189" s="2"/>
      <c r="K189" s="2"/>
      <c r="N189" s="2"/>
    </row>
    <row r="190" spans="9:14">
      <c r="I190" s="2"/>
      <c r="J190" s="2"/>
      <c r="K190" s="2"/>
      <c r="N190" s="2"/>
    </row>
    <row r="191" spans="9:14">
      <c r="I191" s="2"/>
      <c r="J191" s="2"/>
      <c r="K191" s="2"/>
      <c r="N191" s="2"/>
    </row>
    <row r="192" spans="9:14">
      <c r="I192" s="2"/>
      <c r="J192" s="2"/>
      <c r="K192" s="2"/>
      <c r="N192" s="2"/>
    </row>
    <row r="193" spans="9:14">
      <c r="I193" s="2"/>
      <c r="J193" s="2"/>
      <c r="K193" s="2"/>
      <c r="N193" s="2"/>
    </row>
    <row r="194" spans="9:14">
      <c r="I194" s="2"/>
      <c r="J194" s="2"/>
      <c r="K194" s="2"/>
      <c r="N194" s="2"/>
    </row>
    <row r="195" spans="9:14">
      <c r="I195" s="2"/>
      <c r="J195" s="2"/>
      <c r="K195" s="2"/>
      <c r="N195" s="2"/>
    </row>
    <row r="196" spans="9:14">
      <c r="I196" s="2"/>
      <c r="J196" s="2"/>
      <c r="K196" s="2"/>
      <c r="N196" s="2"/>
    </row>
    <row r="197" spans="9:14">
      <c r="I197" s="2"/>
      <c r="J197" s="2"/>
      <c r="K197" s="2"/>
      <c r="N197" s="2"/>
    </row>
    <row r="198" spans="9:14">
      <c r="I198" s="2"/>
      <c r="J198" s="2"/>
      <c r="K198" s="2"/>
      <c r="N198" s="2"/>
    </row>
    <row r="199" spans="9:14">
      <c r="I199" s="2"/>
      <c r="J199" s="2"/>
      <c r="K199" s="2"/>
      <c r="N199" s="2"/>
    </row>
    <row r="200" spans="9:14">
      <c r="I200" s="2"/>
      <c r="J200" s="2"/>
      <c r="K200" s="2"/>
      <c r="N200" s="2"/>
    </row>
    <row r="201" spans="9:14">
      <c r="I201" s="2"/>
      <c r="J201" s="2"/>
      <c r="K201" s="2"/>
      <c r="N201" s="2"/>
    </row>
    <row r="202" spans="9:14">
      <c r="I202" s="2"/>
      <c r="J202" s="2"/>
      <c r="K202" s="2"/>
      <c r="N202" s="2"/>
    </row>
    <row r="203" spans="9:14">
      <c r="I203" s="2"/>
      <c r="J203" s="2"/>
      <c r="K203" s="2"/>
      <c r="N203" s="2"/>
    </row>
    <row r="204" spans="9:14">
      <c r="I204" s="2"/>
      <c r="J204" s="2"/>
      <c r="K204" s="2"/>
      <c r="N204" s="2"/>
    </row>
    <row r="205" spans="9:14">
      <c r="I205" s="2"/>
      <c r="J205" s="2"/>
      <c r="K205" s="2"/>
      <c r="N205" s="2"/>
    </row>
    <row r="206" spans="9:14">
      <c r="I206" s="2"/>
      <c r="J206" s="2"/>
      <c r="K206" s="2"/>
      <c r="N206" s="2"/>
    </row>
    <row r="207" spans="9:14">
      <c r="I207" s="2"/>
      <c r="J207" s="2"/>
      <c r="K207" s="2"/>
      <c r="N207" s="2"/>
    </row>
    <row r="208" spans="9:14">
      <c r="I208" s="2"/>
      <c r="J208" s="2"/>
      <c r="K208" s="2"/>
      <c r="N208" s="2"/>
    </row>
    <row r="209" spans="9:14">
      <c r="I209" s="2"/>
      <c r="J209" s="2"/>
      <c r="K209" s="2"/>
      <c r="N209" s="2"/>
    </row>
    <row r="210" spans="9:14">
      <c r="I210" s="2"/>
      <c r="J210" s="2"/>
      <c r="K210" s="2"/>
      <c r="N210" s="2"/>
    </row>
    <row r="211" spans="9:14">
      <c r="I211" s="2"/>
      <c r="J211" s="2"/>
      <c r="K211" s="2"/>
      <c r="N211" s="2"/>
    </row>
    <row r="212" spans="9:14">
      <c r="I212" s="2"/>
      <c r="J212" s="2"/>
      <c r="K212" s="2"/>
      <c r="N212" s="2"/>
    </row>
    <row r="213" spans="9:14">
      <c r="I213" s="2"/>
      <c r="J213" s="2"/>
      <c r="K213" s="2"/>
      <c r="N213" s="2"/>
    </row>
    <row r="214" spans="9:14">
      <c r="I214" s="2"/>
      <c r="J214" s="2"/>
      <c r="K214" s="2"/>
      <c r="N214" s="2"/>
    </row>
    <row r="215" spans="9:14">
      <c r="I215" s="2"/>
      <c r="J215" s="2"/>
      <c r="K215" s="2"/>
      <c r="N215" s="2"/>
    </row>
    <row r="216" spans="9:14">
      <c r="I216" s="2"/>
      <c r="J216" s="2"/>
      <c r="K216" s="2"/>
      <c r="N216" s="2"/>
    </row>
    <row r="217" spans="9:14">
      <c r="I217" s="2"/>
      <c r="J217" s="2"/>
      <c r="K217" s="2"/>
      <c r="N217" s="2"/>
    </row>
    <row r="218" spans="9:14">
      <c r="I218" s="2"/>
      <c r="J218" s="2"/>
      <c r="K218" s="2"/>
      <c r="N218" s="2"/>
    </row>
    <row r="219" spans="9:14">
      <c r="I219" s="2"/>
      <c r="J219" s="2"/>
      <c r="K219" s="2"/>
      <c r="N219" s="2"/>
    </row>
    <row r="220" spans="9:14">
      <c r="I220" s="2"/>
      <c r="J220" s="2"/>
      <c r="K220" s="2"/>
      <c r="N220" s="2"/>
    </row>
    <row r="221" spans="9:14">
      <c r="I221" s="2"/>
      <c r="J221" s="2"/>
      <c r="K221" s="2"/>
      <c r="N221" s="2"/>
    </row>
    <row r="222" spans="9:14">
      <c r="I222" s="2"/>
      <c r="J222" s="2"/>
      <c r="K222" s="2"/>
      <c r="N222" s="2"/>
    </row>
    <row r="223" spans="9:14">
      <c r="I223" s="2"/>
      <c r="J223" s="2"/>
      <c r="K223" s="2"/>
      <c r="N223" s="2"/>
    </row>
    <row r="224" spans="9:14">
      <c r="I224" s="2"/>
      <c r="J224" s="2"/>
      <c r="K224" s="2"/>
      <c r="N224" s="2"/>
    </row>
    <row r="225" spans="9:14">
      <c r="I225" s="2"/>
      <c r="J225" s="2"/>
      <c r="K225" s="2"/>
      <c r="N225" s="2"/>
    </row>
    <row r="226" spans="9:14">
      <c r="I226" s="2"/>
      <c r="J226" s="2"/>
      <c r="K226" s="2"/>
      <c r="N226" s="2"/>
    </row>
    <row r="227" spans="9:14">
      <c r="I227" s="2"/>
      <c r="J227" s="2"/>
      <c r="K227" s="2"/>
      <c r="N227" s="2"/>
    </row>
    <row r="228" spans="9:14">
      <c r="I228" s="2"/>
      <c r="J228" s="2"/>
      <c r="K228" s="2"/>
      <c r="N228" s="2"/>
    </row>
    <row r="229" spans="9:14">
      <c r="I229" s="2"/>
      <c r="J229" s="2"/>
      <c r="K229" s="2"/>
      <c r="N229" s="2"/>
    </row>
    <row r="230" spans="9:14">
      <c r="I230" s="2"/>
      <c r="J230" s="2"/>
      <c r="K230" s="2"/>
      <c r="N230" s="2"/>
    </row>
    <row r="231" spans="9:14">
      <c r="I231" s="2"/>
      <c r="J231" s="2"/>
      <c r="K231" s="2"/>
      <c r="N231" s="2"/>
    </row>
    <row r="232" spans="9:14">
      <c r="I232" s="2"/>
      <c r="J232" s="2"/>
      <c r="K232" s="2"/>
      <c r="N232" s="2"/>
    </row>
    <row r="233" spans="9:14">
      <c r="I233" s="2"/>
      <c r="J233" s="2"/>
      <c r="K233" s="2"/>
      <c r="N233" s="2"/>
    </row>
    <row r="234" spans="9:14">
      <c r="I234" s="2"/>
      <c r="J234" s="2"/>
      <c r="K234" s="2"/>
      <c r="N234" s="2"/>
    </row>
    <row r="235" spans="9:14">
      <c r="I235" s="2"/>
      <c r="J235" s="2"/>
      <c r="K235" s="2"/>
      <c r="N235" s="2"/>
    </row>
    <row r="236" spans="9:14">
      <c r="I236" s="2"/>
      <c r="J236" s="2"/>
      <c r="K236" s="2"/>
      <c r="N236" s="2"/>
    </row>
    <row r="237" spans="9:14">
      <c r="I237" s="2"/>
      <c r="J237" s="2"/>
      <c r="K237" s="2"/>
      <c r="N237" s="2"/>
    </row>
    <row r="238" spans="9:14">
      <c r="I238" s="2"/>
      <c r="J238" s="2"/>
      <c r="K238" s="2"/>
      <c r="N238" s="2"/>
    </row>
    <row r="239" spans="9:14">
      <c r="I239" s="2"/>
      <c r="J239" s="2"/>
      <c r="K239" s="2"/>
      <c r="N239" s="2"/>
    </row>
    <row r="240" spans="9:14">
      <c r="I240" s="2"/>
      <c r="J240" s="2"/>
      <c r="K240" s="2"/>
      <c r="N240" s="2"/>
    </row>
    <row r="241" spans="9:14">
      <c r="I241" s="2"/>
      <c r="J241" s="2"/>
      <c r="K241" s="2"/>
      <c r="N241" s="2"/>
    </row>
    <row r="242" spans="9:14">
      <c r="I242" s="2"/>
      <c r="J242" s="2"/>
      <c r="K242" s="2"/>
      <c r="N242" s="2"/>
    </row>
    <row r="243" spans="9:14">
      <c r="I243" s="2"/>
      <c r="J243" s="2"/>
      <c r="K243" s="2"/>
      <c r="N243" s="2"/>
    </row>
    <row r="244" spans="9:14">
      <c r="I244" s="2"/>
      <c r="J244" s="2"/>
      <c r="K244" s="2"/>
      <c r="N244" s="2"/>
    </row>
    <row r="245" spans="9:14">
      <c r="I245" s="2"/>
      <c r="J245" s="2"/>
      <c r="K245" s="2"/>
      <c r="N245" s="2"/>
    </row>
    <row r="246" spans="9:14">
      <c r="I246" s="2"/>
      <c r="J246" s="2"/>
      <c r="K246" s="2"/>
      <c r="N246" s="2"/>
    </row>
    <row r="247" spans="9:14">
      <c r="I247" s="2"/>
      <c r="J247" s="2"/>
      <c r="K247" s="2"/>
      <c r="N247" s="2"/>
    </row>
    <row r="248" spans="9:14">
      <c r="I248" s="2"/>
      <c r="J248" s="2"/>
      <c r="K248" s="2"/>
      <c r="N248" s="2"/>
    </row>
    <row r="249" spans="9:14">
      <c r="I249" s="2"/>
      <c r="J249" s="2"/>
      <c r="K249" s="2"/>
      <c r="N249" s="2"/>
    </row>
    <row r="250" spans="9:14">
      <c r="I250" s="2"/>
      <c r="J250" s="2"/>
      <c r="K250" s="2"/>
      <c r="N250" s="2"/>
    </row>
    <row r="251" spans="9:14">
      <c r="I251" s="2"/>
      <c r="J251" s="2"/>
      <c r="K251" s="2"/>
      <c r="N251" s="2"/>
    </row>
    <row r="252" spans="9:14">
      <c r="I252" s="2"/>
      <c r="J252" s="2"/>
      <c r="K252" s="2"/>
      <c r="N252" s="2"/>
    </row>
    <row r="253" spans="9:14">
      <c r="I253" s="2"/>
      <c r="J253" s="2"/>
      <c r="K253" s="2"/>
      <c r="N253" s="2"/>
    </row>
    <row r="254" spans="9:14">
      <c r="I254" s="2"/>
      <c r="J254" s="2"/>
      <c r="K254" s="2"/>
      <c r="N254" s="2"/>
    </row>
    <row r="255" spans="9:14">
      <c r="I255" s="2"/>
      <c r="J255" s="2"/>
      <c r="K255" s="2"/>
      <c r="N255" s="2"/>
    </row>
    <row r="256" spans="9:14">
      <c r="I256" s="2"/>
      <c r="J256" s="2"/>
      <c r="K256" s="2"/>
      <c r="N256" s="2"/>
    </row>
    <row r="257" spans="9:14">
      <c r="I257" s="2"/>
      <c r="J257" s="2"/>
      <c r="K257" s="2"/>
      <c r="N257" s="2"/>
    </row>
    <row r="258" spans="9:14">
      <c r="I258" s="2"/>
      <c r="J258" s="2"/>
      <c r="K258" s="2"/>
      <c r="N258" s="2"/>
    </row>
    <row r="259" spans="9:14">
      <c r="I259" s="2"/>
      <c r="J259" s="2"/>
      <c r="K259" s="2"/>
      <c r="N259" s="2"/>
    </row>
    <row r="260" spans="9:14">
      <c r="I260" s="2"/>
      <c r="J260" s="2"/>
      <c r="K260" s="2"/>
      <c r="N260" s="2"/>
    </row>
    <row r="261" spans="9:14">
      <c r="I261" s="2"/>
      <c r="J261" s="2"/>
      <c r="K261" s="2"/>
      <c r="N261" s="2"/>
    </row>
    <row r="262" spans="9:14">
      <c r="I262" s="2"/>
      <c r="J262" s="2"/>
      <c r="K262" s="2"/>
      <c r="N262" s="2"/>
    </row>
    <row r="263" spans="9:14">
      <c r="I263" s="2"/>
      <c r="J263" s="2"/>
      <c r="K263" s="2"/>
      <c r="N263" s="2"/>
    </row>
    <row r="264" spans="9:14">
      <c r="I264" s="2"/>
      <c r="J264" s="2"/>
      <c r="K264" s="2"/>
      <c r="N264" s="2"/>
    </row>
    <row r="265" spans="9:14">
      <c r="I265" s="2"/>
      <c r="J265" s="2"/>
      <c r="K265" s="2"/>
      <c r="N265" s="2"/>
    </row>
    <row r="266" spans="9:14">
      <c r="I266" s="2"/>
      <c r="J266" s="2"/>
      <c r="K266" s="2"/>
      <c r="N266" s="2"/>
    </row>
    <row r="267" spans="9:14">
      <c r="I267" s="2"/>
      <c r="J267" s="2"/>
      <c r="K267" s="2"/>
      <c r="N267" s="2"/>
    </row>
    <row r="268" spans="9:14">
      <c r="I268" s="2"/>
      <c r="J268" s="2"/>
      <c r="K268" s="2"/>
      <c r="N268" s="2"/>
    </row>
    <row r="269" spans="9:14">
      <c r="I269" s="2"/>
      <c r="J269" s="2"/>
      <c r="K269" s="2"/>
      <c r="N269" s="2"/>
    </row>
    <row r="270" spans="9:14">
      <c r="I270" s="2"/>
      <c r="J270" s="2"/>
      <c r="K270" s="2"/>
      <c r="N270" s="2"/>
    </row>
    <row r="271" spans="9:14">
      <c r="I271" s="2"/>
      <c r="J271" s="2"/>
      <c r="K271" s="2"/>
      <c r="N271" s="2"/>
    </row>
    <row r="272" spans="9:14">
      <c r="I272" s="2"/>
      <c r="J272" s="2"/>
      <c r="K272" s="2"/>
      <c r="N272" s="2"/>
    </row>
    <row r="273" spans="9:14">
      <c r="I273" s="2"/>
      <c r="J273" s="2"/>
      <c r="K273" s="2"/>
      <c r="N273" s="2"/>
    </row>
    <row r="274" spans="9:14">
      <c r="I274" s="2"/>
      <c r="J274" s="2"/>
      <c r="K274" s="2"/>
      <c r="N274" s="2"/>
    </row>
    <row r="275" spans="9:14">
      <c r="I275" s="2"/>
      <c r="J275" s="2"/>
      <c r="K275" s="2"/>
      <c r="N275" s="2"/>
    </row>
    <row r="276" spans="9:14">
      <c r="I276" s="2"/>
      <c r="J276" s="2"/>
      <c r="K276" s="2"/>
      <c r="N276" s="2"/>
    </row>
    <row r="277" spans="9:14">
      <c r="I277" s="2"/>
      <c r="J277" s="2"/>
      <c r="K277" s="2"/>
      <c r="N277" s="2"/>
    </row>
    <row r="278" spans="9:14">
      <c r="I278" s="2"/>
      <c r="J278" s="2"/>
      <c r="K278" s="2"/>
      <c r="N278" s="2"/>
    </row>
    <row r="279" spans="9:14">
      <c r="I279" s="2"/>
      <c r="J279" s="2"/>
      <c r="K279" s="2"/>
      <c r="N279" s="2"/>
    </row>
    <row r="280" spans="9:14">
      <c r="I280" s="2"/>
      <c r="J280" s="2"/>
      <c r="K280" s="2"/>
      <c r="N280" s="2"/>
    </row>
    <row r="281" spans="9:14">
      <c r="I281" s="2"/>
      <c r="J281" s="2"/>
      <c r="K281" s="2"/>
      <c r="N281" s="2"/>
    </row>
    <row r="282" spans="9:14">
      <c r="I282" s="2"/>
      <c r="J282" s="2"/>
      <c r="K282" s="2"/>
      <c r="N282" s="2"/>
    </row>
    <row r="283" spans="9:14">
      <c r="I283" s="2"/>
      <c r="J283" s="2"/>
      <c r="K283" s="2"/>
      <c r="N283" s="2"/>
    </row>
    <row r="284" spans="9:14">
      <c r="I284" s="2"/>
      <c r="J284" s="2"/>
      <c r="K284" s="2"/>
      <c r="N284" s="2"/>
    </row>
    <row r="285" spans="9:14">
      <c r="I285" s="2"/>
      <c r="J285" s="2"/>
      <c r="K285" s="2"/>
      <c r="N285" s="2"/>
    </row>
    <row r="286" spans="9:14">
      <c r="I286" s="2"/>
      <c r="J286" s="2"/>
      <c r="K286" s="2"/>
      <c r="N286" s="2"/>
    </row>
    <row r="287" spans="9:14">
      <c r="I287" s="2"/>
      <c r="J287" s="2"/>
      <c r="K287" s="2"/>
      <c r="N287" s="2"/>
    </row>
    <row r="288" spans="9:14">
      <c r="I288" s="2"/>
      <c r="J288" s="2"/>
      <c r="K288" s="2"/>
      <c r="N288" s="2"/>
    </row>
    <row r="289" spans="9:14">
      <c r="I289" s="2"/>
      <c r="J289" s="2"/>
      <c r="K289" s="2"/>
      <c r="N289" s="2"/>
    </row>
    <row r="290" spans="9:14">
      <c r="I290" s="2"/>
      <c r="J290" s="2"/>
      <c r="K290" s="2"/>
      <c r="N290" s="2"/>
    </row>
    <row r="291" spans="9:14">
      <c r="I291" s="2"/>
      <c r="J291" s="2"/>
      <c r="K291" s="2"/>
      <c r="N291" s="2"/>
    </row>
    <row r="292" spans="9:14">
      <c r="I292" s="2"/>
      <c r="J292" s="2"/>
      <c r="K292" s="2"/>
      <c r="N292" s="2"/>
    </row>
    <row r="293" spans="9:14">
      <c r="I293" s="2"/>
      <c r="J293" s="2"/>
      <c r="K293" s="2"/>
      <c r="N293" s="2"/>
    </row>
    <row r="294" spans="9:14">
      <c r="I294" s="2"/>
      <c r="J294" s="2"/>
      <c r="K294" s="2"/>
      <c r="N294" s="2"/>
    </row>
    <row r="295" spans="9:14">
      <c r="I295" s="2"/>
      <c r="J295" s="2"/>
      <c r="K295" s="2"/>
      <c r="N295" s="2"/>
    </row>
    <row r="296" spans="9:14">
      <c r="I296" s="2"/>
      <c r="J296" s="2"/>
      <c r="K296" s="2"/>
      <c r="N296" s="2"/>
    </row>
    <row r="297" spans="9:14">
      <c r="I297" s="2"/>
      <c r="J297" s="2"/>
      <c r="K297" s="2"/>
      <c r="N297" s="2"/>
    </row>
    <row r="298" spans="9:14">
      <c r="I298" s="2"/>
      <c r="J298" s="2"/>
      <c r="K298" s="2"/>
      <c r="N298" s="2"/>
    </row>
    <row r="299" spans="9:14">
      <c r="I299" s="2"/>
      <c r="J299" s="2"/>
      <c r="K299" s="2"/>
      <c r="N299" s="2"/>
    </row>
    <row r="300" spans="9:14">
      <c r="I300" s="2"/>
      <c r="J300" s="2"/>
      <c r="K300" s="2"/>
      <c r="N300" s="2"/>
    </row>
    <row r="301" spans="9:14">
      <c r="I301" s="2"/>
      <c r="J301" s="2"/>
      <c r="K301" s="2"/>
      <c r="N301" s="2"/>
    </row>
    <row r="302" spans="9:14">
      <c r="I302" s="2"/>
      <c r="J302" s="2"/>
      <c r="K302" s="2"/>
      <c r="N302" s="2"/>
    </row>
    <row r="303" spans="9:14">
      <c r="I303" s="2"/>
      <c r="J303" s="2"/>
      <c r="K303" s="2"/>
      <c r="N303" s="2"/>
    </row>
    <row r="304" spans="9:14">
      <c r="I304" s="2"/>
      <c r="J304" s="2"/>
      <c r="K304" s="2"/>
      <c r="N304" s="2"/>
    </row>
    <row r="305" spans="9:14">
      <c r="I305" s="2"/>
      <c r="J305" s="2"/>
      <c r="K305" s="2"/>
      <c r="N305" s="2"/>
    </row>
    <row r="306" spans="9:14">
      <c r="I306" s="2"/>
      <c r="J306" s="2"/>
      <c r="K306" s="2"/>
      <c r="N306" s="2"/>
    </row>
    <row r="307" spans="9:14">
      <c r="I307" s="2"/>
      <c r="J307" s="2"/>
      <c r="K307" s="2"/>
      <c r="N307" s="2"/>
    </row>
    <row r="308" spans="9:14">
      <c r="I308" s="2"/>
      <c r="J308" s="2"/>
      <c r="K308" s="2"/>
      <c r="N308" s="2"/>
    </row>
    <row r="309" spans="9:14">
      <c r="I309" s="2"/>
      <c r="J309" s="2"/>
      <c r="K309" s="2"/>
      <c r="N309" s="2"/>
    </row>
    <row r="310" spans="9:14">
      <c r="I310" s="2"/>
      <c r="J310" s="2"/>
      <c r="K310" s="2"/>
      <c r="N310" s="2"/>
    </row>
    <row r="311" spans="9:14">
      <c r="I311" s="2"/>
      <c r="J311" s="2"/>
      <c r="K311" s="2"/>
      <c r="N311" s="2"/>
    </row>
    <row r="312" spans="9:14">
      <c r="I312" s="2"/>
      <c r="J312" s="2"/>
      <c r="K312" s="2"/>
      <c r="N312" s="2"/>
    </row>
    <row r="313" spans="9:14">
      <c r="I313" s="2"/>
      <c r="J313" s="2"/>
      <c r="K313" s="2"/>
      <c r="N313" s="2"/>
    </row>
    <row r="314" spans="9:14">
      <c r="I314" s="2"/>
      <c r="J314" s="2"/>
      <c r="K314" s="2"/>
      <c r="N314" s="2"/>
    </row>
    <row r="315" spans="9:14">
      <c r="I315" s="2"/>
      <c r="J315" s="2"/>
      <c r="K315" s="2"/>
      <c r="N315" s="2"/>
    </row>
    <row r="316" spans="9:14">
      <c r="I316" s="2"/>
      <c r="J316" s="2"/>
      <c r="K316" s="2"/>
      <c r="N316" s="2"/>
    </row>
    <row r="317" spans="9:14">
      <c r="I317" s="2"/>
      <c r="J317" s="2"/>
      <c r="K317" s="2"/>
      <c r="N317" s="2"/>
    </row>
    <row r="318" spans="9:14">
      <c r="I318" s="2"/>
      <c r="J318" s="2"/>
      <c r="K318" s="2"/>
      <c r="N318" s="2"/>
    </row>
    <row r="319" spans="9:14">
      <c r="I319" s="2"/>
      <c r="J319" s="2"/>
      <c r="K319" s="2"/>
      <c r="N319" s="2"/>
    </row>
    <row r="320" spans="9:14">
      <c r="I320" s="2"/>
      <c r="J320" s="2"/>
      <c r="K320" s="2"/>
      <c r="N320" s="2"/>
    </row>
    <row r="321" spans="9:14">
      <c r="I321" s="2"/>
      <c r="J321" s="2"/>
      <c r="K321" s="2"/>
      <c r="N321" s="2"/>
    </row>
    <row r="322" spans="9:14">
      <c r="I322" s="2"/>
      <c r="J322" s="2"/>
      <c r="K322" s="2"/>
      <c r="N322" s="2"/>
    </row>
    <row r="323" spans="9:14">
      <c r="I323" s="2"/>
      <c r="J323" s="2"/>
      <c r="K323" s="2"/>
      <c r="N323" s="2"/>
    </row>
    <row r="324" spans="9:14">
      <c r="I324" s="2"/>
      <c r="J324" s="2"/>
      <c r="K324" s="2"/>
      <c r="N324" s="2"/>
    </row>
    <row r="325" spans="9:14">
      <c r="I325" s="2"/>
      <c r="J325" s="2"/>
      <c r="K325" s="2"/>
      <c r="N325" s="2"/>
    </row>
    <row r="326" spans="9:14">
      <c r="I326" s="2"/>
      <c r="J326" s="2"/>
      <c r="K326" s="2"/>
      <c r="N326" s="2"/>
    </row>
    <row r="327" spans="9:14">
      <c r="I327" s="2"/>
      <c r="J327" s="2"/>
      <c r="K327" s="2"/>
      <c r="N327" s="2"/>
    </row>
    <row r="328" spans="9:14">
      <c r="I328" s="2"/>
      <c r="J328" s="2"/>
      <c r="K328" s="2"/>
      <c r="N328" s="2"/>
    </row>
    <row r="329" spans="9:14">
      <c r="I329" s="2"/>
      <c r="J329" s="2"/>
      <c r="K329" s="2"/>
      <c r="N329" s="2"/>
    </row>
    <row r="330" spans="9:14">
      <c r="I330" s="2"/>
      <c r="J330" s="2"/>
      <c r="K330" s="2"/>
      <c r="N330" s="2"/>
    </row>
    <row r="331" spans="9:14">
      <c r="I331" s="2"/>
      <c r="J331" s="2"/>
      <c r="K331" s="2"/>
      <c r="N331" s="2"/>
    </row>
    <row r="332" spans="9:14">
      <c r="I332" s="2"/>
      <c r="J332" s="2"/>
      <c r="K332" s="2"/>
      <c r="N332" s="2"/>
    </row>
    <row r="333" spans="9:14">
      <c r="I333" s="2"/>
      <c r="J333" s="2"/>
      <c r="K333" s="2"/>
      <c r="N333" s="2"/>
    </row>
    <row r="334" spans="9:14">
      <c r="I334" s="2"/>
      <c r="J334" s="2"/>
      <c r="K334" s="2"/>
      <c r="N334" s="2"/>
    </row>
    <row r="335" spans="9:14">
      <c r="I335" s="2"/>
      <c r="J335" s="2"/>
      <c r="K335" s="2"/>
      <c r="N335" s="2"/>
    </row>
    <row r="336" spans="9:14">
      <c r="I336" s="2"/>
      <c r="J336" s="2"/>
      <c r="K336" s="2"/>
      <c r="N336" s="2"/>
    </row>
    <row r="337" spans="9:14">
      <c r="I337" s="2"/>
      <c r="J337" s="2"/>
      <c r="K337" s="2"/>
      <c r="N337" s="2"/>
    </row>
    <row r="338" spans="9:14">
      <c r="I338" s="2"/>
      <c r="J338" s="2"/>
      <c r="K338" s="2"/>
      <c r="N338" s="2"/>
    </row>
    <row r="339" spans="9:14">
      <c r="I339" s="2"/>
      <c r="J339" s="2"/>
      <c r="K339" s="2"/>
      <c r="N339" s="2"/>
    </row>
    <row r="340" spans="9:14">
      <c r="I340" s="2"/>
      <c r="J340" s="2"/>
      <c r="K340" s="2"/>
      <c r="N340" s="2"/>
    </row>
    <row r="341" spans="9:14">
      <c r="I341" s="2"/>
      <c r="J341" s="2"/>
      <c r="K341" s="2"/>
      <c r="N341" s="2"/>
    </row>
    <row r="342" spans="9:14">
      <c r="I342" s="2"/>
      <c r="J342" s="2"/>
      <c r="K342" s="2"/>
      <c r="N342" s="2"/>
    </row>
    <row r="343" spans="9:14">
      <c r="I343" s="2"/>
      <c r="J343" s="2"/>
      <c r="K343" s="2"/>
      <c r="N343" s="2"/>
    </row>
    <row r="344" spans="9:14">
      <c r="I344" s="2"/>
      <c r="J344" s="2"/>
      <c r="K344" s="2"/>
      <c r="N344" s="2"/>
    </row>
    <row r="345" spans="9:14">
      <c r="I345" s="2"/>
      <c r="J345" s="2"/>
      <c r="K345" s="2"/>
      <c r="N345" s="2"/>
    </row>
    <row r="346" spans="9:14">
      <c r="I346" s="2"/>
      <c r="J346" s="2"/>
      <c r="K346" s="2"/>
      <c r="N346" s="2"/>
    </row>
    <row r="347" spans="9:14">
      <c r="I347" s="2"/>
      <c r="J347" s="2"/>
      <c r="K347" s="2"/>
      <c r="N347" s="2"/>
    </row>
    <row r="348" spans="9:14">
      <c r="I348" s="2"/>
      <c r="J348" s="2"/>
      <c r="K348" s="2"/>
      <c r="N348" s="2"/>
    </row>
    <row r="349" spans="9:14">
      <c r="I349" s="2"/>
      <c r="J349" s="2"/>
      <c r="K349" s="2"/>
      <c r="N349" s="2"/>
    </row>
    <row r="350" spans="9:14">
      <c r="I350" s="2"/>
      <c r="J350" s="2"/>
      <c r="K350" s="2"/>
      <c r="N350" s="2"/>
    </row>
    <row r="351" spans="9:14">
      <c r="I351" s="2"/>
      <c r="J351" s="2"/>
      <c r="K351" s="2"/>
      <c r="N351" s="2"/>
    </row>
    <row r="352" spans="9:14">
      <c r="I352" s="2"/>
      <c r="J352" s="2"/>
      <c r="K352" s="2"/>
      <c r="N352" s="2"/>
    </row>
    <row r="353" spans="9:14">
      <c r="I353" s="2"/>
      <c r="J353" s="2"/>
      <c r="K353" s="2"/>
      <c r="N353" s="2"/>
    </row>
    <row r="354" spans="9:14">
      <c r="I354" s="2"/>
      <c r="J354" s="2"/>
      <c r="K354" s="2"/>
      <c r="N354" s="2"/>
    </row>
    <row r="355" spans="9:14">
      <c r="I355" s="2"/>
      <c r="J355" s="2"/>
      <c r="K355" s="2"/>
      <c r="N355" s="2"/>
    </row>
    <row r="356" spans="9:14">
      <c r="I356" s="2"/>
      <c r="J356" s="2"/>
      <c r="K356" s="2"/>
      <c r="N356" s="2"/>
    </row>
    <row r="357" spans="9:14">
      <c r="I357" s="2"/>
      <c r="J357" s="2"/>
      <c r="K357" s="2"/>
      <c r="N357" s="2"/>
    </row>
    <row r="358" spans="9:14">
      <c r="I358" s="2"/>
      <c r="J358" s="2"/>
      <c r="K358" s="2"/>
      <c r="N358" s="2"/>
    </row>
    <row r="359" spans="9:14">
      <c r="I359" s="2"/>
      <c r="J359" s="2"/>
      <c r="K359" s="2"/>
      <c r="N359" s="2"/>
    </row>
    <row r="360" spans="9:14">
      <c r="I360" s="2"/>
      <c r="J360" s="2"/>
      <c r="K360" s="2"/>
      <c r="N360" s="2"/>
    </row>
    <row r="361" spans="9:14">
      <c r="I361" s="2"/>
      <c r="J361" s="2"/>
      <c r="K361" s="2"/>
      <c r="N361" s="2"/>
    </row>
    <row r="362" spans="9:14">
      <c r="I362" s="2"/>
      <c r="J362" s="2"/>
      <c r="K362" s="2"/>
      <c r="N362" s="2"/>
    </row>
    <row r="363" spans="9:14">
      <c r="I363" s="2"/>
      <c r="J363" s="2"/>
      <c r="K363" s="2"/>
      <c r="N363" s="2"/>
    </row>
    <row r="364" spans="9:14">
      <c r="I364" s="2"/>
      <c r="J364" s="2"/>
      <c r="K364" s="2"/>
      <c r="N364" s="2"/>
    </row>
    <row r="365" spans="9:14">
      <c r="I365" s="2"/>
      <c r="J365" s="2"/>
      <c r="K365" s="2"/>
      <c r="N365" s="2"/>
    </row>
    <row r="366" spans="9:14">
      <c r="I366" s="2"/>
      <c r="J366" s="2"/>
      <c r="K366" s="2"/>
      <c r="N366" s="2"/>
    </row>
    <row r="367" spans="9:14">
      <c r="I367" s="2"/>
      <c r="J367" s="2"/>
      <c r="K367" s="2"/>
      <c r="N367" s="2"/>
    </row>
    <row r="368" spans="9:14">
      <c r="I368" s="2"/>
      <c r="J368" s="2"/>
      <c r="K368" s="2"/>
      <c r="N368" s="2"/>
    </row>
    <row r="369" spans="9:14">
      <c r="I369" s="2"/>
      <c r="J369" s="2"/>
      <c r="K369" s="2"/>
      <c r="N369" s="2"/>
    </row>
    <row r="370" spans="9:14">
      <c r="I370" s="2"/>
      <c r="J370" s="2"/>
      <c r="K370" s="2"/>
      <c r="N370" s="2"/>
    </row>
    <row r="371" spans="9:14">
      <c r="I371" s="2"/>
      <c r="J371" s="2"/>
      <c r="K371" s="2"/>
      <c r="N371" s="2"/>
    </row>
    <row r="372" spans="9:14">
      <c r="I372" s="2"/>
      <c r="J372" s="2"/>
      <c r="K372" s="2"/>
      <c r="N372" s="2"/>
    </row>
    <row r="373" spans="9:14">
      <c r="I373" s="2"/>
      <c r="J373" s="2"/>
      <c r="K373" s="2"/>
      <c r="N373" s="2"/>
    </row>
    <row r="374" spans="9:14">
      <c r="I374" s="2"/>
      <c r="J374" s="2"/>
      <c r="K374" s="2"/>
      <c r="N374" s="2"/>
    </row>
    <row r="375" spans="9:14">
      <c r="I375" s="2"/>
      <c r="J375" s="2"/>
      <c r="K375" s="2"/>
      <c r="N375" s="2"/>
    </row>
    <row r="376" spans="9:14">
      <c r="I376" s="2"/>
      <c r="J376" s="2"/>
      <c r="K376" s="2"/>
      <c r="N376" s="2"/>
    </row>
    <row r="377" spans="9:14">
      <c r="I377" s="2"/>
      <c r="J377" s="2"/>
      <c r="K377" s="2"/>
      <c r="N377" s="2"/>
    </row>
    <row r="378" spans="9:14">
      <c r="I378" s="2"/>
      <c r="J378" s="2"/>
      <c r="K378" s="2"/>
      <c r="N378" s="2"/>
    </row>
    <row r="379" spans="9:14">
      <c r="I379" s="2"/>
      <c r="J379" s="2"/>
      <c r="K379" s="2"/>
      <c r="N379" s="2"/>
    </row>
    <row r="380" spans="9:14">
      <c r="I380" s="2"/>
      <c r="J380" s="2"/>
      <c r="K380" s="2"/>
      <c r="N380" s="2"/>
    </row>
    <row r="381" spans="9:14">
      <c r="I381" s="2"/>
      <c r="J381" s="2"/>
      <c r="K381" s="2"/>
      <c r="N381" s="2"/>
    </row>
    <row r="382" spans="9:14">
      <c r="I382" s="2"/>
      <c r="J382" s="2"/>
      <c r="K382" s="2"/>
      <c r="N382" s="2"/>
    </row>
    <row r="383" spans="9:14">
      <c r="I383" s="2"/>
      <c r="J383" s="2"/>
      <c r="K383" s="2"/>
      <c r="N383" s="2"/>
    </row>
    <row r="384" spans="9:14">
      <c r="I384" s="2"/>
      <c r="J384" s="2"/>
      <c r="K384" s="2"/>
      <c r="N384" s="2"/>
    </row>
    <row r="385" spans="9:14">
      <c r="I385" s="2"/>
      <c r="J385" s="2"/>
      <c r="K385" s="2"/>
      <c r="N385" s="2"/>
    </row>
    <row r="386" spans="9:14">
      <c r="I386" s="2"/>
      <c r="J386" s="2"/>
      <c r="K386" s="2"/>
      <c r="N386" s="2"/>
    </row>
    <row r="387" spans="9:14">
      <c r="I387" s="2"/>
      <c r="J387" s="2"/>
      <c r="K387" s="2"/>
      <c r="N387" s="2"/>
    </row>
    <row r="388" spans="9:14">
      <c r="I388" s="2"/>
      <c r="J388" s="2"/>
      <c r="K388" s="2"/>
      <c r="N388" s="2"/>
    </row>
    <row r="389" spans="9:14">
      <c r="I389" s="2"/>
      <c r="J389" s="2"/>
      <c r="K389" s="2"/>
      <c r="N389" s="2"/>
    </row>
    <row r="390" spans="9:14">
      <c r="I390" s="2"/>
      <c r="J390" s="2"/>
      <c r="K390" s="2"/>
      <c r="N390" s="2"/>
    </row>
    <row r="391" spans="9:14">
      <c r="I391" s="2"/>
      <c r="J391" s="2"/>
      <c r="K391" s="2"/>
      <c r="N391" s="2"/>
    </row>
    <row r="392" spans="9:14">
      <c r="I392" s="2"/>
      <c r="J392" s="2"/>
      <c r="K392" s="2"/>
      <c r="N392" s="2"/>
    </row>
    <row r="393" spans="9:14">
      <c r="I393" s="2"/>
      <c r="J393" s="2"/>
      <c r="K393" s="2"/>
      <c r="N393" s="2"/>
    </row>
    <row r="394" spans="9:14">
      <c r="I394" s="2"/>
      <c r="J394" s="2"/>
      <c r="K394" s="2"/>
      <c r="N394" s="2"/>
    </row>
    <row r="395" spans="9:14">
      <c r="I395" s="2"/>
      <c r="J395" s="2"/>
      <c r="K395" s="2"/>
      <c r="N395" s="2"/>
    </row>
    <row r="396" spans="9:14">
      <c r="I396" s="2"/>
      <c r="J396" s="2"/>
      <c r="K396" s="2"/>
      <c r="N396" s="2"/>
    </row>
    <row r="397" spans="9:14">
      <c r="I397" s="2"/>
      <c r="J397" s="2"/>
      <c r="K397" s="2"/>
      <c r="N397" s="2"/>
    </row>
    <row r="398" spans="9:14">
      <c r="I398" s="2"/>
      <c r="J398" s="2"/>
      <c r="K398" s="2"/>
      <c r="N398" s="2"/>
    </row>
    <row r="399" spans="9:14">
      <c r="I399" s="2"/>
      <c r="J399" s="2"/>
      <c r="K399" s="2"/>
      <c r="N399" s="2"/>
    </row>
    <row r="400" spans="9:14">
      <c r="I400" s="2"/>
      <c r="J400" s="2"/>
      <c r="K400" s="2"/>
      <c r="N400" s="2"/>
    </row>
    <row r="401" spans="9:14">
      <c r="I401" s="2"/>
      <c r="J401" s="2"/>
      <c r="K401" s="2"/>
      <c r="N401" s="2"/>
    </row>
    <row r="402" spans="9:14">
      <c r="I402" s="2"/>
      <c r="J402" s="2"/>
      <c r="K402" s="2"/>
      <c r="N402" s="2"/>
    </row>
    <row r="403" spans="9:14">
      <c r="I403" s="2"/>
      <c r="J403" s="2"/>
      <c r="K403" s="2"/>
      <c r="N403" s="2"/>
    </row>
    <row r="404" spans="9:14">
      <c r="I404" s="2"/>
      <c r="J404" s="2"/>
      <c r="K404" s="2"/>
      <c r="N404" s="2"/>
    </row>
    <row r="405" spans="9:14">
      <c r="I405" s="2"/>
      <c r="J405" s="2"/>
      <c r="K405" s="2"/>
      <c r="N405" s="2"/>
    </row>
    <row r="406" spans="9:14">
      <c r="I406" s="2"/>
      <c r="J406" s="2"/>
      <c r="K406" s="2"/>
      <c r="N406" s="2"/>
    </row>
    <row r="407" spans="9:14">
      <c r="I407" s="2"/>
      <c r="J407" s="2"/>
      <c r="K407" s="2"/>
      <c r="N407" s="2"/>
    </row>
    <row r="408" spans="9:14">
      <c r="I408" s="2"/>
      <c r="J408" s="2"/>
      <c r="K408" s="2"/>
      <c r="N408" s="2"/>
    </row>
    <row r="409" spans="9:14">
      <c r="I409" s="2"/>
      <c r="J409" s="2"/>
      <c r="K409" s="2"/>
      <c r="N409" s="2"/>
    </row>
    <row r="410" spans="9:14">
      <c r="I410" s="2"/>
      <c r="J410" s="2"/>
      <c r="K410" s="2"/>
      <c r="N410" s="2"/>
    </row>
    <row r="411" spans="9:14">
      <c r="I411" s="2"/>
      <c r="J411" s="2"/>
      <c r="K411" s="2"/>
      <c r="N411" s="2"/>
    </row>
    <row r="412" spans="9:14">
      <c r="I412" s="2"/>
      <c r="J412" s="2"/>
      <c r="K412" s="2"/>
      <c r="N412" s="2"/>
    </row>
    <row r="413" spans="9:14">
      <c r="I413" s="2"/>
      <c r="J413" s="2"/>
      <c r="K413" s="2"/>
      <c r="N413" s="2"/>
    </row>
    <row r="414" spans="9:14">
      <c r="I414" s="2"/>
      <c r="J414" s="2"/>
      <c r="K414" s="2"/>
      <c r="N414" s="2"/>
    </row>
    <row r="415" spans="9:14">
      <c r="I415" s="2"/>
      <c r="J415" s="2"/>
      <c r="K415" s="2"/>
      <c r="N415" s="2"/>
    </row>
    <row r="416" spans="9:14">
      <c r="I416" s="2"/>
      <c r="J416" s="2"/>
      <c r="K416" s="2"/>
      <c r="N416" s="2"/>
    </row>
    <row r="417" spans="9:14">
      <c r="I417" s="2"/>
      <c r="J417" s="2"/>
      <c r="K417" s="2"/>
      <c r="N417" s="2"/>
    </row>
    <row r="418" spans="9:14">
      <c r="I418" s="2"/>
      <c r="J418" s="2"/>
      <c r="K418" s="2"/>
      <c r="N418" s="2"/>
    </row>
    <row r="419" spans="9:14">
      <c r="I419" s="2"/>
      <c r="J419" s="2"/>
      <c r="K419" s="2"/>
      <c r="N419" s="2"/>
    </row>
    <row r="420" spans="9:14">
      <c r="I420" s="2"/>
      <c r="J420" s="2"/>
      <c r="K420" s="2"/>
      <c r="N420" s="2"/>
    </row>
    <row r="421" spans="9:14">
      <c r="I421" s="2"/>
      <c r="J421" s="2"/>
      <c r="K421" s="2"/>
      <c r="N421" s="2"/>
    </row>
    <row r="422" spans="9:14">
      <c r="I422" s="2"/>
      <c r="J422" s="2"/>
      <c r="K422" s="2"/>
      <c r="N422" s="2"/>
    </row>
    <row r="423" spans="9:14">
      <c r="I423" s="2"/>
      <c r="J423" s="2"/>
      <c r="K423" s="2"/>
      <c r="N423" s="2"/>
    </row>
    <row r="424" spans="9:14">
      <c r="I424" s="2"/>
      <c r="J424" s="2"/>
      <c r="K424" s="2"/>
      <c r="N424" s="2"/>
    </row>
    <row r="425" spans="9:14">
      <c r="I425" s="2"/>
      <c r="J425" s="2"/>
      <c r="K425" s="2"/>
      <c r="N425" s="2"/>
    </row>
    <row r="426" spans="9:14">
      <c r="I426" s="2"/>
      <c r="J426" s="2"/>
      <c r="K426" s="2"/>
      <c r="N426" s="2"/>
    </row>
    <row r="427" spans="9:14">
      <c r="I427" s="2"/>
      <c r="J427" s="2"/>
      <c r="K427" s="2"/>
      <c r="N427" s="2"/>
    </row>
    <row r="428" spans="9:14">
      <c r="I428" s="2"/>
      <c r="J428" s="2"/>
      <c r="K428" s="2"/>
      <c r="N428" s="2"/>
    </row>
    <row r="429" spans="9:14">
      <c r="I429" s="2"/>
      <c r="J429" s="2"/>
      <c r="K429" s="2"/>
      <c r="N429" s="2"/>
    </row>
    <row r="430" spans="9:14">
      <c r="I430" s="2"/>
      <c r="J430" s="2"/>
      <c r="K430" s="2"/>
      <c r="N430" s="2"/>
    </row>
    <row r="431" spans="9:14">
      <c r="I431" s="2"/>
      <c r="J431" s="2"/>
      <c r="K431" s="2"/>
      <c r="N431" s="2"/>
    </row>
    <row r="432" spans="9:14">
      <c r="I432" s="2"/>
      <c r="J432" s="2"/>
      <c r="K432" s="2"/>
      <c r="N432" s="2"/>
    </row>
    <row r="433" spans="9:14">
      <c r="I433" s="2"/>
      <c r="J433" s="2"/>
      <c r="K433" s="2"/>
      <c r="N433" s="2"/>
    </row>
    <row r="434" spans="9:14">
      <c r="I434" s="2"/>
      <c r="J434" s="2"/>
      <c r="K434" s="2"/>
      <c r="N434" s="2"/>
    </row>
    <row r="435" spans="9:14">
      <c r="I435" s="2"/>
      <c r="J435" s="2"/>
      <c r="K435" s="2"/>
      <c r="N435" s="2"/>
    </row>
    <row r="436" spans="9:14">
      <c r="I436" s="2"/>
      <c r="J436" s="2"/>
      <c r="K436" s="2"/>
      <c r="N436" s="2"/>
    </row>
    <row r="437" spans="9:14">
      <c r="I437" s="2"/>
      <c r="J437" s="2"/>
      <c r="K437" s="2"/>
      <c r="N437" s="2"/>
    </row>
    <row r="438" spans="9:14">
      <c r="I438" s="2"/>
      <c r="J438" s="2"/>
      <c r="K438" s="2"/>
      <c r="N438" s="2"/>
    </row>
    <row r="439" spans="9:14">
      <c r="I439" s="2"/>
      <c r="J439" s="2"/>
      <c r="K439" s="2"/>
      <c r="N439" s="2"/>
    </row>
    <row r="440" spans="9:14">
      <c r="I440" s="2"/>
      <c r="J440" s="2"/>
      <c r="K440" s="2"/>
      <c r="N440" s="2"/>
    </row>
    <row r="441" spans="9:14">
      <c r="I441" s="2"/>
      <c r="J441" s="2"/>
      <c r="K441" s="2"/>
      <c r="N441" s="2"/>
    </row>
    <row r="442" spans="9:14">
      <c r="I442" s="2"/>
      <c r="J442" s="2"/>
      <c r="K442" s="2"/>
      <c r="N442" s="2"/>
    </row>
    <row r="443" spans="9:14">
      <c r="I443" s="2"/>
      <c r="J443" s="2"/>
      <c r="K443" s="2"/>
      <c r="N443" s="2"/>
    </row>
    <row r="444" spans="9:14">
      <c r="I444" s="2"/>
      <c r="J444" s="2"/>
      <c r="K444" s="2"/>
      <c r="N444" s="2"/>
    </row>
    <row r="445" spans="9:14">
      <c r="I445" s="2"/>
      <c r="J445" s="2"/>
      <c r="K445" s="2"/>
      <c r="N445" s="2"/>
    </row>
    <row r="446" spans="9:14">
      <c r="I446" s="2"/>
      <c r="J446" s="2"/>
      <c r="K446" s="2"/>
      <c r="N446" s="2"/>
    </row>
    <row r="447" spans="9:14">
      <c r="I447" s="2"/>
      <c r="J447" s="2"/>
      <c r="K447" s="2"/>
      <c r="N447" s="2"/>
    </row>
    <row r="448" spans="9:14">
      <c r="I448" s="2"/>
      <c r="J448" s="2"/>
      <c r="K448" s="2"/>
      <c r="N448" s="2"/>
    </row>
    <row r="449" spans="9:14">
      <c r="I449" s="2"/>
      <c r="J449" s="2"/>
      <c r="K449" s="2"/>
      <c r="N449" s="2"/>
    </row>
    <row r="450" spans="9:14">
      <c r="I450" s="2"/>
      <c r="J450" s="2"/>
      <c r="K450" s="2"/>
      <c r="N450" s="2"/>
    </row>
    <row r="451" spans="9:14">
      <c r="I451" s="2"/>
      <c r="J451" s="2"/>
      <c r="K451" s="2"/>
      <c r="N451" s="2"/>
    </row>
    <row r="452" spans="9:14">
      <c r="I452" s="2"/>
      <c r="J452" s="2"/>
      <c r="K452" s="2"/>
      <c r="N452" s="2"/>
    </row>
    <row r="453" spans="9:14">
      <c r="I453" s="2"/>
      <c r="J453" s="2"/>
      <c r="K453" s="2"/>
      <c r="N453" s="2"/>
    </row>
    <row r="454" spans="9:14">
      <c r="I454" s="2"/>
      <c r="J454" s="2"/>
      <c r="K454" s="2"/>
      <c r="N454" s="2"/>
    </row>
    <row r="455" spans="9:14">
      <c r="I455" s="2"/>
      <c r="J455" s="2"/>
      <c r="K455" s="2"/>
      <c r="N455" s="2"/>
    </row>
    <row r="456" spans="9:14">
      <c r="I456" s="2"/>
      <c r="J456" s="2"/>
      <c r="K456" s="2"/>
      <c r="N456" s="2"/>
    </row>
    <row r="457" spans="9:14">
      <c r="I457" s="2"/>
      <c r="J457" s="2"/>
      <c r="K457" s="2"/>
      <c r="N457" s="2"/>
    </row>
    <row r="458" spans="9:14">
      <c r="I458" s="2"/>
      <c r="J458" s="2"/>
      <c r="K458" s="2"/>
      <c r="N458" s="2"/>
    </row>
    <row r="459" spans="9:14">
      <c r="I459" s="2"/>
      <c r="J459" s="2"/>
      <c r="K459" s="2"/>
      <c r="N459" s="2"/>
    </row>
    <row r="460" spans="9:14">
      <c r="I460" s="2"/>
      <c r="J460" s="2"/>
      <c r="K460" s="2"/>
      <c r="N460" s="2"/>
    </row>
    <row r="461" spans="9:14">
      <c r="I461" s="2"/>
      <c r="J461" s="2"/>
      <c r="K461" s="2"/>
      <c r="N461" s="2"/>
    </row>
    <row r="462" spans="9:14">
      <c r="I462" s="2"/>
      <c r="J462" s="2"/>
      <c r="K462" s="2"/>
      <c r="N462" s="2"/>
    </row>
    <row r="463" spans="9:14">
      <c r="I463" s="2"/>
      <c r="J463" s="2"/>
      <c r="K463" s="2"/>
      <c r="N463" s="2"/>
    </row>
    <row r="464" spans="9:14">
      <c r="I464" s="2"/>
      <c r="J464" s="2"/>
      <c r="K464" s="2"/>
      <c r="N464" s="2"/>
    </row>
    <row r="465" spans="9:14">
      <c r="I465" s="2"/>
      <c r="J465" s="2"/>
      <c r="K465" s="2"/>
      <c r="N465" s="2"/>
    </row>
    <row r="466" spans="9:14">
      <c r="I466" s="2"/>
      <c r="J466" s="2"/>
      <c r="K466" s="2"/>
      <c r="N466" s="2"/>
    </row>
    <row r="467" spans="9:14">
      <c r="I467" s="2"/>
      <c r="J467" s="2"/>
      <c r="K467" s="2"/>
      <c r="N467" s="2"/>
    </row>
    <row r="468" spans="9:14">
      <c r="I468" s="2"/>
      <c r="J468" s="2"/>
      <c r="K468" s="2"/>
      <c r="N468" s="2"/>
    </row>
    <row r="469" spans="9:14">
      <c r="I469" s="2"/>
      <c r="J469" s="2"/>
      <c r="K469" s="2"/>
      <c r="N469" s="2"/>
    </row>
    <row r="470" spans="9:14">
      <c r="I470" s="2"/>
      <c r="J470" s="2"/>
      <c r="K470" s="2"/>
      <c r="N470" s="2"/>
    </row>
    <row r="471" spans="9:14">
      <c r="I471" s="2"/>
      <c r="J471" s="2"/>
      <c r="K471" s="2"/>
      <c r="N471" s="2"/>
    </row>
    <row r="472" spans="9:14">
      <c r="I472" s="2"/>
      <c r="J472" s="2"/>
      <c r="K472" s="2"/>
      <c r="N472" s="2"/>
    </row>
    <row r="473" spans="9:14">
      <c r="I473" s="2"/>
      <c r="J473" s="2"/>
      <c r="K473" s="2"/>
      <c r="N473" s="2"/>
    </row>
    <row r="474" spans="9:14">
      <c r="I474" s="2"/>
      <c r="J474" s="2"/>
      <c r="K474" s="2"/>
      <c r="N474" s="2"/>
    </row>
    <row r="475" spans="9:14">
      <c r="I475" s="2"/>
      <c r="J475" s="2"/>
      <c r="K475" s="2"/>
      <c r="N475" s="2"/>
    </row>
    <row r="476" spans="9:14">
      <c r="I476" s="2"/>
      <c r="J476" s="2"/>
      <c r="K476" s="2"/>
      <c r="N476" s="2"/>
    </row>
    <row r="477" spans="9:14">
      <c r="I477" s="2"/>
      <c r="J477" s="2"/>
      <c r="K477" s="2"/>
      <c r="N477" s="2"/>
    </row>
    <row r="478" spans="9:14">
      <c r="I478" s="2"/>
      <c r="J478" s="2"/>
      <c r="K478" s="2"/>
      <c r="N478" s="2"/>
    </row>
    <row r="479" spans="9:14">
      <c r="I479" s="2"/>
      <c r="J479" s="2"/>
      <c r="K479" s="2"/>
      <c r="N479" s="2"/>
    </row>
    <row r="480" spans="9:14">
      <c r="I480" s="2"/>
      <c r="J480" s="2"/>
      <c r="K480" s="2"/>
      <c r="N480" s="2"/>
    </row>
    <row r="481" spans="9:14">
      <c r="I481" s="2"/>
      <c r="J481" s="2"/>
      <c r="K481" s="2"/>
      <c r="N481" s="2"/>
    </row>
    <row r="482" spans="9:14">
      <c r="I482" s="2"/>
      <c r="J482" s="2"/>
      <c r="K482" s="2"/>
      <c r="N482" s="2"/>
    </row>
    <row r="483" spans="9:14">
      <c r="I483" s="2"/>
      <c r="J483" s="2"/>
      <c r="K483" s="2"/>
      <c r="N483" s="2"/>
    </row>
    <row r="484" spans="9:14">
      <c r="I484" s="2"/>
      <c r="J484" s="2"/>
      <c r="K484" s="2"/>
      <c r="N484" s="2"/>
    </row>
    <row r="485" spans="9:14">
      <c r="I485" s="2"/>
      <c r="J485" s="2"/>
      <c r="K485" s="2"/>
      <c r="N485" s="2"/>
    </row>
    <row r="486" spans="9:14">
      <c r="I486" s="2"/>
      <c r="J486" s="2"/>
      <c r="K486" s="2"/>
      <c r="N486" s="2"/>
    </row>
    <row r="487" spans="9:14">
      <c r="I487" s="2"/>
      <c r="J487" s="2"/>
      <c r="K487" s="2"/>
      <c r="N487" s="2"/>
    </row>
    <row r="488" spans="9:14">
      <c r="I488" s="2"/>
      <c r="J488" s="2"/>
      <c r="K488" s="2"/>
      <c r="N488" s="2"/>
    </row>
    <row r="489" spans="9:14">
      <c r="I489" s="2"/>
      <c r="J489" s="2"/>
      <c r="K489" s="2"/>
      <c r="N489" s="2"/>
    </row>
    <row r="490" spans="9:14">
      <c r="I490" s="2"/>
      <c r="J490" s="2"/>
      <c r="K490" s="2"/>
      <c r="N490" s="2"/>
    </row>
    <row r="491" spans="9:14">
      <c r="I491" s="2"/>
      <c r="J491" s="2"/>
      <c r="K491" s="2"/>
      <c r="N491" s="2"/>
    </row>
    <row r="492" spans="9:14">
      <c r="I492" s="2"/>
      <c r="J492" s="2"/>
      <c r="K492" s="2"/>
      <c r="N492" s="2"/>
    </row>
    <row r="493" spans="9:14">
      <c r="I493" s="2"/>
      <c r="J493" s="2"/>
      <c r="K493" s="2"/>
      <c r="N493" s="2"/>
    </row>
    <row r="494" spans="9:14">
      <c r="I494" s="2"/>
      <c r="J494" s="2"/>
      <c r="K494" s="2"/>
      <c r="N494" s="2"/>
    </row>
    <row r="495" spans="9:14">
      <c r="I495" s="2"/>
      <c r="J495" s="2"/>
      <c r="K495" s="2"/>
      <c r="N495" s="2"/>
    </row>
    <row r="496" spans="9:14">
      <c r="I496" s="2"/>
      <c r="J496" s="2"/>
      <c r="K496" s="2"/>
      <c r="N496" s="2"/>
    </row>
    <row r="497" spans="9:14">
      <c r="I497" s="2"/>
      <c r="J497" s="2"/>
      <c r="K497" s="2"/>
      <c r="N497" s="2"/>
    </row>
    <row r="498" spans="9:14">
      <c r="I498" s="2"/>
      <c r="J498" s="2"/>
      <c r="K498" s="2"/>
      <c r="N498" s="2"/>
    </row>
    <row r="499" spans="9:14">
      <c r="I499" s="2"/>
      <c r="J499" s="2"/>
      <c r="K499" s="2"/>
      <c r="N499" s="2"/>
    </row>
    <row r="500" spans="9:14">
      <c r="I500" s="2"/>
      <c r="J500" s="2"/>
      <c r="K500" s="2"/>
      <c r="N500" s="2"/>
    </row>
    <row r="501" spans="9:14">
      <c r="I501" s="2"/>
      <c r="J501" s="2"/>
      <c r="K501" s="2"/>
      <c r="N501" s="2"/>
    </row>
    <row r="502" spans="9:14">
      <c r="I502" s="2"/>
      <c r="J502" s="2"/>
      <c r="K502" s="2"/>
      <c r="N502" s="2"/>
    </row>
    <row r="503" spans="9:14">
      <c r="I503" s="2"/>
      <c r="J503" s="2"/>
      <c r="K503" s="2"/>
      <c r="N503" s="2"/>
    </row>
    <row r="504" spans="9:14">
      <c r="I504" s="2"/>
      <c r="J504" s="2"/>
      <c r="K504" s="2"/>
      <c r="N504" s="2"/>
    </row>
    <row r="505" spans="9:14">
      <c r="I505" s="2"/>
      <c r="J505" s="2"/>
      <c r="K505" s="2"/>
      <c r="N505" s="2"/>
    </row>
    <row r="506" spans="9:14">
      <c r="I506" s="2"/>
      <c r="J506" s="2"/>
      <c r="K506" s="2"/>
      <c r="N506" s="2"/>
    </row>
    <row r="507" spans="9:14">
      <c r="I507" s="2"/>
      <c r="J507" s="2"/>
      <c r="K507" s="2"/>
      <c r="N507" s="2"/>
    </row>
    <row r="508" spans="9:14">
      <c r="I508" s="2"/>
      <c r="J508" s="2"/>
      <c r="K508" s="2"/>
      <c r="N508" s="2"/>
    </row>
    <row r="509" spans="9:14">
      <c r="I509" s="2"/>
      <c r="J509" s="2"/>
      <c r="K509" s="2"/>
      <c r="N509" s="2"/>
    </row>
    <row r="510" spans="9:14">
      <c r="I510" s="2"/>
      <c r="J510" s="2"/>
      <c r="K510" s="2"/>
      <c r="N510" s="2"/>
    </row>
    <row r="511" spans="9:14">
      <c r="I511" s="2"/>
      <c r="J511" s="2"/>
      <c r="K511" s="2"/>
      <c r="N511" s="2"/>
    </row>
    <row r="512" spans="9:14">
      <c r="I512" s="2"/>
      <c r="J512" s="2"/>
      <c r="K512" s="2"/>
      <c r="N512" s="2"/>
    </row>
    <row r="513" spans="9:14">
      <c r="I513" s="2"/>
      <c r="J513" s="2"/>
      <c r="K513" s="2"/>
      <c r="N513" s="2"/>
    </row>
    <row r="514" spans="9:14">
      <c r="I514" s="2"/>
      <c r="J514" s="2"/>
      <c r="K514" s="2"/>
      <c r="N514" s="2"/>
    </row>
    <row r="515" spans="9:14">
      <c r="I515" s="2"/>
      <c r="J515" s="2"/>
      <c r="K515" s="2"/>
      <c r="N515" s="2"/>
    </row>
    <row r="516" spans="9:14">
      <c r="I516" s="2"/>
      <c r="J516" s="2"/>
      <c r="K516" s="2"/>
      <c r="N516" s="2"/>
    </row>
    <row r="517" spans="9:14">
      <c r="I517" s="2"/>
      <c r="J517" s="2"/>
      <c r="K517" s="2"/>
      <c r="N517" s="2"/>
    </row>
    <row r="518" spans="9:14">
      <c r="I518" s="2"/>
      <c r="J518" s="2"/>
      <c r="K518" s="2"/>
      <c r="N518" s="2"/>
    </row>
    <row r="519" spans="9:14">
      <c r="I519" s="2"/>
      <c r="J519" s="2"/>
      <c r="K519" s="2"/>
      <c r="N519" s="2"/>
    </row>
    <row r="520" spans="9:14">
      <c r="I520" s="2"/>
      <c r="J520" s="2"/>
      <c r="K520" s="2"/>
      <c r="N520" s="2"/>
    </row>
    <row r="521" spans="9:14">
      <c r="I521" s="2"/>
      <c r="J521" s="2"/>
      <c r="K521" s="2"/>
      <c r="N521" s="2"/>
    </row>
    <row r="522" spans="9:14">
      <c r="I522" s="2"/>
      <c r="J522" s="2"/>
      <c r="K522" s="2"/>
      <c r="N522" s="2"/>
    </row>
    <row r="523" spans="9:14">
      <c r="I523" s="2"/>
      <c r="J523" s="2"/>
      <c r="K523" s="2"/>
      <c r="N523" s="2"/>
    </row>
    <row r="524" spans="9:14">
      <c r="I524" s="2"/>
      <c r="J524" s="2"/>
      <c r="K524" s="2"/>
      <c r="N524" s="2"/>
    </row>
    <row r="525" spans="9:14">
      <c r="I525" s="2"/>
      <c r="J525" s="2"/>
      <c r="K525" s="2"/>
      <c r="N525" s="2"/>
    </row>
    <row r="526" spans="9:14">
      <c r="I526" s="2"/>
      <c r="J526" s="2"/>
      <c r="K526" s="2"/>
      <c r="N526" s="2"/>
    </row>
    <row r="527" spans="9:14">
      <c r="I527" s="2"/>
      <c r="J527" s="2"/>
      <c r="K527" s="2"/>
      <c r="N527" s="2"/>
    </row>
    <row r="528" spans="9:14">
      <c r="I528" s="2"/>
      <c r="J528" s="2"/>
      <c r="K528" s="2"/>
      <c r="N528" s="2"/>
    </row>
    <row r="529" spans="9:14">
      <c r="I529" s="2"/>
      <c r="J529" s="2"/>
      <c r="K529" s="2"/>
      <c r="N529" s="2"/>
    </row>
    <row r="530" spans="9:14">
      <c r="I530" s="2"/>
      <c r="J530" s="2"/>
      <c r="K530" s="2"/>
      <c r="N530" s="2"/>
    </row>
    <row r="531" spans="9:14">
      <c r="I531" s="2"/>
      <c r="J531" s="2"/>
      <c r="K531" s="2"/>
      <c r="N531" s="2"/>
    </row>
    <row r="532" spans="9:14">
      <c r="I532" s="2"/>
      <c r="J532" s="2"/>
      <c r="K532" s="2"/>
      <c r="N532" s="2"/>
    </row>
    <row r="533" spans="9:14">
      <c r="I533" s="2"/>
      <c r="J533" s="2"/>
      <c r="K533" s="2"/>
      <c r="N533" s="2"/>
    </row>
    <row r="534" spans="9:14">
      <c r="I534" s="2"/>
      <c r="J534" s="2"/>
      <c r="K534" s="2"/>
      <c r="N534" s="2"/>
    </row>
    <row r="535" spans="9:14">
      <c r="I535" s="2"/>
      <c r="J535" s="2"/>
      <c r="K535" s="2"/>
      <c r="N535" s="2"/>
    </row>
    <row r="536" spans="9:14">
      <c r="I536" s="2"/>
      <c r="J536" s="2"/>
      <c r="K536" s="2"/>
      <c r="N536" s="2"/>
    </row>
    <row r="537" spans="9:14">
      <c r="I537" s="2"/>
      <c r="J537" s="2"/>
      <c r="K537" s="2"/>
      <c r="N537" s="2"/>
    </row>
    <row r="538" spans="9:14">
      <c r="I538" s="2"/>
      <c r="J538" s="2"/>
      <c r="K538" s="2"/>
      <c r="N538" s="2"/>
    </row>
    <row r="539" spans="9:14">
      <c r="I539" s="2"/>
      <c r="J539" s="2"/>
      <c r="K539" s="2"/>
      <c r="N539" s="2"/>
    </row>
    <row r="540" spans="9:14">
      <c r="I540" s="2"/>
      <c r="J540" s="2"/>
      <c r="K540" s="2"/>
      <c r="N540" s="2"/>
    </row>
    <row r="541" spans="9:14">
      <c r="I541" s="2"/>
      <c r="J541" s="2"/>
      <c r="K541" s="2"/>
      <c r="N541" s="2"/>
    </row>
    <row r="542" spans="9:14">
      <c r="I542" s="2"/>
      <c r="J542" s="2"/>
      <c r="K542" s="2"/>
      <c r="N542" s="2"/>
    </row>
    <row r="543" spans="9:14">
      <c r="I543" s="2"/>
      <c r="J543" s="2"/>
      <c r="K543" s="2"/>
      <c r="N543" s="2"/>
    </row>
    <row r="544" spans="9:14">
      <c r="I544" s="2"/>
      <c r="J544" s="2"/>
      <c r="K544" s="2"/>
      <c r="N544" s="2"/>
    </row>
    <row r="545" spans="9:14">
      <c r="I545" s="2"/>
      <c r="J545" s="2"/>
      <c r="K545" s="2"/>
      <c r="N545" s="2"/>
    </row>
    <row r="546" spans="9:14">
      <c r="I546" s="2"/>
      <c r="J546" s="2"/>
      <c r="K546" s="2"/>
      <c r="N546" s="2"/>
    </row>
    <row r="547" spans="9:14">
      <c r="I547" s="2"/>
      <c r="J547" s="2"/>
      <c r="K547" s="2"/>
      <c r="N547" s="2"/>
    </row>
    <row r="548" spans="9:14">
      <c r="I548" s="2"/>
      <c r="J548" s="2"/>
      <c r="K548" s="2"/>
      <c r="N548" s="2"/>
    </row>
    <row r="549" spans="9:14">
      <c r="I549" s="2"/>
      <c r="J549" s="2"/>
      <c r="K549" s="2"/>
      <c r="N549" s="2"/>
    </row>
    <row r="550" spans="9:14">
      <c r="I550" s="2"/>
      <c r="J550" s="2"/>
      <c r="K550" s="2"/>
      <c r="N550" s="2"/>
    </row>
    <row r="551" spans="9:14">
      <c r="I551" s="2"/>
      <c r="J551" s="2"/>
      <c r="K551" s="2"/>
      <c r="N551" s="2"/>
    </row>
    <row r="552" spans="9:14">
      <c r="I552" s="2"/>
      <c r="J552" s="2"/>
      <c r="K552" s="2"/>
      <c r="N552" s="2"/>
    </row>
    <row r="553" spans="9:14">
      <c r="I553" s="2"/>
      <c r="J553" s="2"/>
      <c r="K553" s="2"/>
      <c r="N553" s="2"/>
    </row>
    <row r="554" spans="9:14">
      <c r="I554" s="2"/>
      <c r="J554" s="2"/>
      <c r="K554" s="2"/>
      <c r="N554" s="2"/>
    </row>
    <row r="555" spans="9:14">
      <c r="I555" s="2"/>
      <c r="J555" s="2"/>
      <c r="K555" s="2"/>
      <c r="N555" s="2"/>
    </row>
    <row r="556" spans="9:14">
      <c r="I556" s="2"/>
      <c r="J556" s="2"/>
      <c r="K556" s="2"/>
      <c r="N556" s="2"/>
    </row>
    <row r="557" spans="9:14">
      <c r="I557" s="2"/>
      <c r="J557" s="2"/>
      <c r="K557" s="2"/>
      <c r="N557" s="2"/>
    </row>
    <row r="558" spans="9:14">
      <c r="I558" s="2"/>
      <c r="J558" s="2"/>
      <c r="K558" s="2"/>
      <c r="N558" s="2"/>
    </row>
    <row r="559" spans="9:14">
      <c r="I559" s="2"/>
      <c r="J559" s="2"/>
      <c r="K559" s="2"/>
      <c r="N559" s="2"/>
    </row>
    <row r="560" spans="9:14">
      <c r="I560" s="2"/>
      <c r="J560" s="2"/>
      <c r="K560" s="2"/>
      <c r="N560" s="2"/>
    </row>
    <row r="561" spans="9:14">
      <c r="I561" s="2"/>
      <c r="J561" s="2"/>
      <c r="K561" s="2"/>
      <c r="N561" s="2"/>
    </row>
    <row r="562" spans="9:14">
      <c r="I562" s="2"/>
      <c r="J562" s="2"/>
      <c r="K562" s="2"/>
      <c r="N562" s="2"/>
    </row>
    <row r="563" spans="9:14">
      <c r="I563" s="2"/>
      <c r="J563" s="2"/>
      <c r="K563" s="2"/>
      <c r="N563" s="2"/>
    </row>
    <row r="564" spans="9:14">
      <c r="I564" s="2"/>
      <c r="J564" s="2"/>
      <c r="K564" s="2"/>
      <c r="N564" s="2"/>
    </row>
    <row r="565" spans="9:14">
      <c r="I565" s="2"/>
      <c r="J565" s="2"/>
      <c r="K565" s="2"/>
      <c r="N565" s="2"/>
    </row>
    <row r="566" spans="9:14">
      <c r="I566" s="2"/>
      <c r="J566" s="2"/>
      <c r="K566" s="2"/>
      <c r="N566" s="2"/>
    </row>
    <row r="567" spans="9:14">
      <c r="I567" s="2"/>
      <c r="J567" s="2"/>
      <c r="K567" s="2"/>
      <c r="N567" s="2"/>
    </row>
    <row r="568" spans="9:14">
      <c r="I568" s="2"/>
      <c r="J568" s="2"/>
      <c r="K568" s="2"/>
      <c r="N568" s="2"/>
    </row>
    <row r="569" spans="9:14">
      <c r="I569" s="2"/>
      <c r="J569" s="2"/>
      <c r="K569" s="2"/>
      <c r="N569" s="2"/>
    </row>
    <row r="570" spans="9:14">
      <c r="I570" s="2"/>
      <c r="J570" s="2"/>
      <c r="K570" s="2"/>
      <c r="N570" s="2"/>
    </row>
    <row r="571" spans="9:14">
      <c r="I571" s="2"/>
      <c r="J571" s="2"/>
      <c r="K571" s="2"/>
      <c r="N571" s="2"/>
    </row>
    <row r="572" spans="9:14">
      <c r="I572" s="2"/>
      <c r="J572" s="2"/>
      <c r="K572" s="2"/>
      <c r="N572" s="2"/>
    </row>
    <row r="573" spans="9:14">
      <c r="I573" s="2"/>
      <c r="J573" s="2"/>
      <c r="K573" s="2"/>
      <c r="N573" s="2"/>
    </row>
    <row r="574" spans="9:14">
      <c r="I574" s="2"/>
      <c r="J574" s="2"/>
      <c r="K574" s="2"/>
      <c r="N574" s="2"/>
    </row>
    <row r="575" spans="9:14">
      <c r="I575" s="2"/>
      <c r="J575" s="2"/>
      <c r="K575" s="2"/>
      <c r="N575" s="2"/>
    </row>
    <row r="576" spans="9:14">
      <c r="I576" s="2"/>
      <c r="J576" s="2"/>
      <c r="K576" s="2"/>
      <c r="N576" s="2"/>
    </row>
    <row r="577" spans="9:14">
      <c r="I577" s="2"/>
      <c r="J577" s="2"/>
      <c r="K577" s="2"/>
      <c r="N577" s="2"/>
    </row>
    <row r="578" spans="9:14">
      <c r="I578" s="2"/>
      <c r="J578" s="2"/>
      <c r="K578" s="2"/>
      <c r="N578" s="2"/>
    </row>
    <row r="579" spans="9:14">
      <c r="I579" s="2"/>
      <c r="J579" s="2"/>
      <c r="K579" s="2"/>
      <c r="N579" s="2"/>
    </row>
    <row r="580" spans="9:14">
      <c r="I580" s="2"/>
      <c r="J580" s="2"/>
      <c r="K580" s="2"/>
      <c r="N580" s="2"/>
    </row>
    <row r="581" spans="9:14">
      <c r="I581" s="2"/>
      <c r="J581" s="2"/>
      <c r="K581" s="2"/>
      <c r="N581" s="2"/>
    </row>
    <row r="582" spans="9:14">
      <c r="I582" s="2"/>
      <c r="J582" s="2"/>
      <c r="K582" s="2"/>
      <c r="N582" s="2"/>
    </row>
    <row r="583" spans="9:14">
      <c r="I583" s="2"/>
      <c r="J583" s="2"/>
      <c r="K583" s="2"/>
      <c r="N583" s="2"/>
    </row>
    <row r="584" spans="9:14">
      <c r="I584" s="2"/>
      <c r="J584" s="2"/>
      <c r="K584" s="2"/>
      <c r="N584" s="2"/>
    </row>
    <row r="585" spans="9:14">
      <c r="I585" s="2"/>
      <c r="J585" s="2"/>
      <c r="K585" s="2"/>
      <c r="N585" s="2"/>
    </row>
    <row r="586" spans="9:14">
      <c r="I586" s="2"/>
      <c r="J586" s="2"/>
      <c r="K586" s="2"/>
      <c r="N586" s="2"/>
    </row>
    <row r="587" spans="9:14">
      <c r="I587" s="2"/>
      <c r="J587" s="2"/>
      <c r="K587" s="2"/>
      <c r="N587" s="2"/>
    </row>
    <row r="588" spans="9:14">
      <c r="I588" s="2"/>
      <c r="J588" s="2"/>
      <c r="K588" s="2"/>
      <c r="N588" s="2"/>
    </row>
    <row r="589" spans="9:14">
      <c r="I589" s="2"/>
      <c r="J589" s="2"/>
      <c r="K589" s="2"/>
      <c r="N589" s="2"/>
    </row>
    <row r="590" spans="9:14">
      <c r="I590" s="2"/>
      <c r="J590" s="2"/>
      <c r="K590" s="2"/>
      <c r="N590" s="2"/>
    </row>
    <row r="591" spans="9:14">
      <c r="I591" s="2"/>
      <c r="J591" s="2"/>
      <c r="K591" s="2"/>
      <c r="N591" s="2"/>
    </row>
    <row r="592" spans="9:14">
      <c r="I592" s="2"/>
      <c r="J592" s="2"/>
      <c r="K592" s="2"/>
      <c r="N592" s="2"/>
    </row>
    <row r="593" spans="9:14">
      <c r="I593" s="2"/>
      <c r="J593" s="2"/>
      <c r="K593" s="2"/>
      <c r="N593" s="2"/>
    </row>
    <row r="594" spans="9:14">
      <c r="I594" s="2"/>
      <c r="J594" s="2"/>
      <c r="K594" s="2"/>
      <c r="N594" s="2"/>
    </row>
    <row r="595" spans="9:14">
      <c r="I595" s="2"/>
      <c r="J595" s="2"/>
      <c r="K595" s="2"/>
      <c r="N595" s="2"/>
    </row>
    <row r="596" spans="9:14">
      <c r="I596" s="2"/>
      <c r="J596" s="2"/>
      <c r="K596" s="2"/>
      <c r="N596" s="2"/>
    </row>
    <row r="597" spans="9:14">
      <c r="I597" s="2"/>
      <c r="J597" s="2"/>
      <c r="K597" s="2"/>
      <c r="N597" s="2"/>
    </row>
    <row r="598" spans="9:14">
      <c r="I598" s="2"/>
      <c r="J598" s="2"/>
      <c r="K598" s="2"/>
      <c r="N598" s="2"/>
    </row>
    <row r="599" spans="9:14">
      <c r="I599" s="2"/>
      <c r="J599" s="2"/>
      <c r="K599" s="2"/>
      <c r="N599" s="2"/>
    </row>
    <row r="600" spans="9:14">
      <c r="I600" s="2"/>
      <c r="J600" s="2"/>
      <c r="K600" s="2"/>
      <c r="N600" s="2"/>
    </row>
    <row r="601" spans="9:14">
      <c r="I601" s="2"/>
      <c r="J601" s="2"/>
      <c r="K601" s="2"/>
      <c r="N601" s="2"/>
    </row>
    <row r="602" spans="9:14">
      <c r="I602" s="2"/>
      <c r="J602" s="2"/>
      <c r="K602" s="2"/>
      <c r="N602" s="2"/>
    </row>
    <row r="603" spans="9:14">
      <c r="I603" s="2"/>
      <c r="J603" s="2"/>
      <c r="K603" s="2"/>
      <c r="N603" s="2"/>
    </row>
    <row r="604" spans="9:14">
      <c r="I604" s="2"/>
      <c r="J604" s="2"/>
      <c r="K604" s="2"/>
      <c r="N604" s="2"/>
    </row>
    <row r="605" spans="9:14">
      <c r="I605" s="2"/>
      <c r="J605" s="2"/>
      <c r="K605" s="2"/>
      <c r="N605" s="2"/>
    </row>
    <row r="606" spans="9:14">
      <c r="I606" s="2"/>
      <c r="J606" s="2"/>
      <c r="K606" s="2"/>
      <c r="N606" s="2"/>
    </row>
    <row r="607" spans="9:14">
      <c r="I607" s="2"/>
      <c r="J607" s="2"/>
      <c r="K607" s="2"/>
      <c r="N607" s="2"/>
    </row>
    <row r="608" spans="9:14">
      <c r="I608" s="2"/>
      <c r="J608" s="2"/>
      <c r="K608" s="2"/>
      <c r="N608" s="2"/>
    </row>
    <row r="609" spans="9:14">
      <c r="I609" s="2"/>
      <c r="J609" s="2"/>
      <c r="K609" s="2"/>
      <c r="N609" s="2"/>
    </row>
    <row r="610" spans="9:14">
      <c r="I610" s="2"/>
      <c r="J610" s="2"/>
      <c r="K610" s="2"/>
      <c r="N610" s="2"/>
    </row>
    <row r="611" spans="9:14">
      <c r="I611" s="2"/>
      <c r="J611" s="2"/>
      <c r="K611" s="2"/>
      <c r="N611" s="2"/>
    </row>
    <row r="612" spans="9:14">
      <c r="I612" s="2"/>
      <c r="J612" s="2"/>
      <c r="K612" s="2"/>
      <c r="N612" s="2"/>
    </row>
    <row r="613" spans="9:14">
      <c r="I613" s="2"/>
      <c r="J613" s="2"/>
      <c r="K613" s="2"/>
      <c r="N613" s="2"/>
    </row>
    <row r="614" spans="9:14">
      <c r="I614" s="2"/>
      <c r="J614" s="2"/>
      <c r="K614" s="2"/>
      <c r="N614" s="2"/>
    </row>
    <row r="615" spans="9:14">
      <c r="I615" s="2"/>
      <c r="J615" s="2"/>
      <c r="K615" s="2"/>
      <c r="N615" s="2"/>
    </row>
    <row r="616" spans="9:14">
      <c r="I616" s="2"/>
      <c r="J616" s="2"/>
      <c r="K616" s="2"/>
      <c r="N616" s="2"/>
    </row>
    <row r="617" spans="9:14">
      <c r="I617" s="2"/>
      <c r="J617" s="2"/>
      <c r="K617" s="2"/>
      <c r="N617" s="2"/>
    </row>
    <row r="618" spans="9:14">
      <c r="I618" s="2"/>
      <c r="J618" s="2"/>
      <c r="K618" s="2"/>
      <c r="N618" s="2"/>
    </row>
    <row r="619" spans="9:14">
      <c r="I619" s="2"/>
      <c r="J619" s="2"/>
      <c r="K619" s="2"/>
      <c r="N619" s="2"/>
    </row>
    <row r="620" spans="9:14">
      <c r="I620" s="2"/>
      <c r="J620" s="2"/>
      <c r="K620" s="2"/>
      <c r="N620" s="2"/>
    </row>
    <row r="621" spans="9:14">
      <c r="I621" s="2"/>
      <c r="J621" s="2"/>
      <c r="K621" s="2"/>
      <c r="N621" s="2"/>
    </row>
    <row r="622" spans="9:14">
      <c r="I622" s="2"/>
      <c r="J622" s="2"/>
      <c r="K622" s="2"/>
      <c r="N622" s="2"/>
    </row>
    <row r="623" spans="9:14">
      <c r="I623" s="2"/>
      <c r="J623" s="2"/>
      <c r="K623" s="2"/>
      <c r="N623" s="2"/>
    </row>
    <row r="624" spans="9:14">
      <c r="I624" s="2"/>
      <c r="J624" s="2"/>
      <c r="K624" s="2"/>
      <c r="N624" s="2"/>
    </row>
    <row r="625" spans="9:14">
      <c r="I625" s="2"/>
      <c r="J625" s="2"/>
      <c r="K625" s="2"/>
      <c r="N625" s="2"/>
    </row>
    <row r="626" spans="9:14">
      <c r="I626" s="2"/>
      <c r="J626" s="2"/>
      <c r="K626" s="2"/>
      <c r="N626" s="2"/>
    </row>
    <row r="627" spans="9:14">
      <c r="I627" s="2"/>
      <c r="J627" s="2"/>
      <c r="K627" s="2"/>
      <c r="N627" s="2"/>
    </row>
    <row r="628" spans="9:14">
      <c r="I628" s="2"/>
      <c r="J628" s="2"/>
      <c r="K628" s="2"/>
      <c r="N628" s="2"/>
    </row>
    <row r="629" spans="9:14">
      <c r="I629" s="2"/>
      <c r="J629" s="2"/>
      <c r="K629" s="2"/>
      <c r="N629" s="2"/>
    </row>
    <row r="630" spans="9:14">
      <c r="I630" s="2"/>
      <c r="J630" s="2"/>
      <c r="K630" s="2"/>
      <c r="N630" s="2"/>
    </row>
    <row r="631" spans="9:14">
      <c r="I631" s="2"/>
      <c r="J631" s="2"/>
      <c r="K631" s="2"/>
      <c r="N631" s="2"/>
    </row>
    <row r="632" spans="9:14">
      <c r="I632" s="2"/>
      <c r="J632" s="2"/>
      <c r="K632" s="2"/>
      <c r="N632" s="2"/>
    </row>
    <row r="633" spans="9:14">
      <c r="I633" s="2"/>
      <c r="J633" s="2"/>
      <c r="K633" s="2"/>
      <c r="N633" s="2"/>
    </row>
    <row r="634" spans="9:14">
      <c r="I634" s="2"/>
      <c r="J634" s="2"/>
      <c r="K634" s="2"/>
      <c r="N634" s="2"/>
    </row>
    <row r="635" spans="9:14">
      <c r="I635" s="2"/>
      <c r="J635" s="2"/>
      <c r="K635" s="2"/>
      <c r="N635" s="2"/>
    </row>
    <row r="636" spans="9:14">
      <c r="I636" s="2"/>
      <c r="J636" s="2"/>
      <c r="K636" s="2"/>
      <c r="N636" s="2"/>
    </row>
    <row r="637" spans="9:14">
      <c r="I637" s="2"/>
      <c r="J637" s="2"/>
      <c r="K637" s="2"/>
      <c r="N637" s="2"/>
    </row>
    <row r="638" spans="9:14">
      <c r="I638" s="2"/>
      <c r="J638" s="2"/>
      <c r="K638" s="2"/>
      <c r="N638" s="2"/>
    </row>
    <row r="639" spans="9:14">
      <c r="I639" s="2"/>
      <c r="J639" s="2"/>
      <c r="K639" s="2"/>
      <c r="N639" s="2"/>
    </row>
    <row r="640" spans="9:14">
      <c r="I640" s="2"/>
      <c r="J640" s="2"/>
      <c r="K640" s="2"/>
      <c r="N640" s="2"/>
    </row>
    <row r="641" spans="9:14">
      <c r="I641" s="2"/>
      <c r="J641" s="2"/>
      <c r="K641" s="2"/>
      <c r="N641" s="2"/>
    </row>
    <row r="642" spans="9:14">
      <c r="I642" s="2"/>
      <c r="J642" s="2"/>
      <c r="K642" s="2"/>
      <c r="N642" s="2"/>
    </row>
    <row r="643" spans="9:14">
      <c r="I643" s="2"/>
      <c r="J643" s="2"/>
      <c r="K643" s="2"/>
      <c r="N643" s="2"/>
    </row>
    <row r="644" spans="9:14">
      <c r="I644" s="2"/>
      <c r="J644" s="2"/>
      <c r="K644" s="2"/>
      <c r="N644" s="2"/>
    </row>
    <row r="645" spans="9:14">
      <c r="I645" s="2"/>
      <c r="J645" s="2"/>
      <c r="K645" s="2"/>
      <c r="N645" s="2"/>
    </row>
    <row r="646" spans="9:14">
      <c r="I646" s="2"/>
      <c r="J646" s="2"/>
      <c r="K646" s="2"/>
      <c r="N646" s="2"/>
    </row>
    <row r="647" spans="9:14">
      <c r="I647" s="2"/>
      <c r="J647" s="2"/>
      <c r="K647" s="2"/>
      <c r="N647" s="2"/>
    </row>
    <row r="648" spans="9:14">
      <c r="I648" s="2"/>
      <c r="J648" s="2"/>
      <c r="K648" s="2"/>
      <c r="N648" s="2"/>
    </row>
    <row r="649" spans="9:14">
      <c r="I649" s="2"/>
      <c r="J649" s="2"/>
      <c r="K649" s="2"/>
      <c r="N649" s="2"/>
    </row>
    <row r="650" spans="9:14">
      <c r="I650" s="2"/>
      <c r="J650" s="2"/>
      <c r="K650" s="2"/>
      <c r="N650" s="2"/>
    </row>
    <row r="651" spans="9:14">
      <c r="I651" s="2"/>
      <c r="J651" s="2"/>
      <c r="K651" s="2"/>
      <c r="N651" s="2"/>
    </row>
    <row r="652" spans="9:14">
      <c r="I652" s="2"/>
      <c r="J652" s="2"/>
      <c r="K652" s="2"/>
      <c r="N652" s="2"/>
    </row>
    <row r="653" spans="9:14">
      <c r="I653" s="2"/>
      <c r="J653" s="2"/>
      <c r="K653" s="2"/>
      <c r="N653" s="2"/>
    </row>
    <row r="654" spans="9:14">
      <c r="I654" s="2"/>
      <c r="J654" s="2"/>
      <c r="K654" s="2"/>
      <c r="N654" s="2"/>
    </row>
    <row r="655" spans="9:14">
      <c r="I655" s="2"/>
      <c r="J655" s="2"/>
      <c r="K655" s="2"/>
      <c r="N655" s="2"/>
    </row>
    <row r="656" spans="9:14">
      <c r="I656" s="2"/>
      <c r="J656" s="2"/>
      <c r="K656" s="2"/>
      <c r="N656" s="2"/>
    </row>
    <row r="657" spans="9:14">
      <c r="I657" s="2"/>
      <c r="J657" s="2"/>
      <c r="K657" s="2"/>
      <c r="N657" s="2"/>
    </row>
    <row r="658" spans="9:14">
      <c r="I658" s="2"/>
      <c r="J658" s="2"/>
      <c r="K658" s="2"/>
      <c r="N658" s="2"/>
    </row>
    <row r="659" spans="9:14">
      <c r="I659" s="2"/>
      <c r="J659" s="2"/>
      <c r="K659" s="2"/>
      <c r="N659" s="2"/>
    </row>
    <row r="660" spans="9:14">
      <c r="I660" s="2"/>
      <c r="J660" s="2"/>
      <c r="K660" s="2"/>
      <c r="N660" s="2"/>
    </row>
    <row r="661" spans="9:14">
      <c r="I661" s="2"/>
      <c r="J661" s="2"/>
      <c r="K661" s="2"/>
      <c r="N661" s="2"/>
    </row>
    <row r="662" spans="9:14">
      <c r="I662" s="2"/>
      <c r="J662" s="2"/>
      <c r="K662" s="2"/>
      <c r="N662" s="2"/>
    </row>
    <row r="663" spans="9:14">
      <c r="I663" s="2"/>
      <c r="J663" s="2"/>
      <c r="K663" s="2"/>
      <c r="N663" s="2"/>
    </row>
    <row r="664" spans="9:14">
      <c r="I664" s="2"/>
      <c r="J664" s="2"/>
      <c r="K664" s="2"/>
      <c r="N664" s="2"/>
    </row>
    <row r="665" spans="9:14">
      <c r="I665" s="2"/>
      <c r="J665" s="2"/>
      <c r="K665" s="2"/>
      <c r="N665" s="2"/>
    </row>
    <row r="666" spans="9:14">
      <c r="I666" s="2"/>
      <c r="J666" s="2"/>
      <c r="K666" s="2"/>
      <c r="N666" s="2"/>
    </row>
    <row r="667" spans="9:14">
      <c r="I667" s="2"/>
      <c r="J667" s="2"/>
      <c r="K667" s="2"/>
      <c r="N667" s="2"/>
    </row>
    <row r="668" spans="9:14">
      <c r="I668" s="2"/>
      <c r="J668" s="2"/>
      <c r="K668" s="2"/>
      <c r="N668" s="2"/>
    </row>
    <row r="669" spans="9:14">
      <c r="I669" s="2"/>
      <c r="J669" s="2"/>
      <c r="K669" s="2"/>
      <c r="N669" s="2"/>
    </row>
    <row r="670" spans="9:14">
      <c r="I670" s="2"/>
      <c r="J670" s="2"/>
      <c r="K670" s="2"/>
      <c r="N670" s="2"/>
    </row>
    <row r="671" spans="9:14">
      <c r="I671" s="2"/>
      <c r="J671" s="2"/>
      <c r="K671" s="2"/>
      <c r="N671" s="2"/>
    </row>
    <row r="672" spans="9:14">
      <c r="I672" s="2"/>
      <c r="J672" s="2"/>
      <c r="K672" s="2"/>
      <c r="N672" s="2"/>
    </row>
    <row r="673" spans="9:14">
      <c r="I673" s="2"/>
      <c r="J673" s="2"/>
      <c r="K673" s="2"/>
      <c r="N673" s="2"/>
    </row>
    <row r="674" spans="9:14">
      <c r="I674" s="2"/>
      <c r="J674" s="2"/>
      <c r="K674" s="2"/>
      <c r="N674" s="2"/>
    </row>
    <row r="675" spans="9:14">
      <c r="I675" s="2"/>
      <c r="J675" s="2"/>
      <c r="K675" s="2"/>
      <c r="N675" s="2"/>
    </row>
    <row r="676" spans="9:14">
      <c r="I676" s="2"/>
      <c r="J676" s="2"/>
      <c r="K676" s="2"/>
      <c r="N676" s="2"/>
    </row>
    <row r="677" spans="9:14">
      <c r="I677" s="2"/>
      <c r="J677" s="2"/>
      <c r="K677" s="2"/>
      <c r="N677" s="2"/>
    </row>
    <row r="678" spans="9:14">
      <c r="I678" s="2"/>
      <c r="J678" s="2"/>
      <c r="K678" s="2"/>
      <c r="N678" s="2"/>
    </row>
    <row r="679" spans="9:14">
      <c r="I679" s="2"/>
      <c r="J679" s="2"/>
      <c r="K679" s="2"/>
      <c r="N679" s="2"/>
    </row>
    <row r="680" spans="9:14">
      <c r="I680" s="2"/>
      <c r="J680" s="2"/>
      <c r="K680" s="2"/>
      <c r="N680" s="2"/>
    </row>
    <row r="681" spans="9:14">
      <c r="I681" s="2"/>
      <c r="J681" s="2"/>
      <c r="K681" s="2"/>
      <c r="N681" s="2"/>
    </row>
    <row r="682" spans="9:14">
      <c r="I682" s="2"/>
      <c r="J682" s="2"/>
      <c r="K682" s="2"/>
      <c r="N682" s="2"/>
    </row>
    <row r="683" spans="9:14">
      <c r="I683" s="2"/>
      <c r="J683" s="2"/>
      <c r="K683" s="2"/>
      <c r="N683" s="2"/>
    </row>
    <row r="684" spans="9:14">
      <c r="I684" s="2"/>
      <c r="J684" s="2"/>
      <c r="K684" s="2"/>
      <c r="N684" s="2"/>
    </row>
    <row r="685" spans="9:14">
      <c r="I685" s="2"/>
      <c r="J685" s="2"/>
      <c r="K685" s="2"/>
      <c r="N685" s="2"/>
    </row>
    <row r="686" spans="9:14">
      <c r="I686" s="2"/>
      <c r="J686" s="2"/>
      <c r="K686" s="2"/>
      <c r="N686" s="2"/>
    </row>
    <row r="687" spans="9:14">
      <c r="I687" s="2"/>
      <c r="J687" s="2"/>
      <c r="K687" s="2"/>
      <c r="N687" s="2"/>
    </row>
    <row r="688" spans="9:14">
      <c r="I688" s="2"/>
      <c r="J688" s="2"/>
      <c r="K688" s="2"/>
      <c r="N688" s="2"/>
    </row>
    <row r="689" spans="9:14">
      <c r="I689" s="2"/>
      <c r="J689" s="2"/>
      <c r="K689" s="2"/>
      <c r="N689" s="2"/>
    </row>
    <row r="690" spans="9:14">
      <c r="I690" s="2"/>
      <c r="J690" s="2"/>
      <c r="K690" s="2"/>
      <c r="N690" s="2"/>
    </row>
    <row r="691" spans="9:14">
      <c r="I691" s="2"/>
      <c r="J691" s="2"/>
      <c r="K691" s="2"/>
      <c r="N691" s="2"/>
    </row>
    <row r="692" spans="9:14">
      <c r="I692" s="2"/>
      <c r="J692" s="2"/>
      <c r="K692" s="2"/>
      <c r="N692" s="2"/>
    </row>
    <row r="693" spans="9:14">
      <c r="I693" s="2"/>
      <c r="J693" s="2"/>
      <c r="K693" s="2"/>
      <c r="N693" s="2"/>
    </row>
    <row r="694" spans="9:14">
      <c r="I694" s="2"/>
      <c r="J694" s="2"/>
      <c r="K694" s="2"/>
      <c r="N694" s="2"/>
    </row>
    <row r="695" spans="9:14">
      <c r="I695" s="2"/>
      <c r="J695" s="2"/>
      <c r="K695" s="2"/>
      <c r="N695" s="2"/>
    </row>
    <row r="696" spans="9:14">
      <c r="I696" s="2"/>
      <c r="J696" s="2"/>
      <c r="K696" s="2"/>
      <c r="N696" s="2"/>
    </row>
    <row r="697" spans="9:14">
      <c r="I697" s="2"/>
      <c r="J697" s="2"/>
      <c r="K697" s="2"/>
      <c r="N697" s="2"/>
    </row>
    <row r="698" spans="9:14">
      <c r="I698" s="2"/>
      <c r="J698" s="2"/>
      <c r="K698" s="2"/>
      <c r="N698" s="2"/>
    </row>
    <row r="699" spans="9:14">
      <c r="I699" s="2"/>
      <c r="J699" s="2"/>
      <c r="K699" s="2"/>
      <c r="N699" s="2"/>
    </row>
    <row r="700" spans="9:14">
      <c r="I700" s="2"/>
      <c r="J700" s="2"/>
      <c r="K700" s="2"/>
      <c r="N700" s="2"/>
    </row>
    <row r="701" spans="9:14">
      <c r="I701" s="2"/>
      <c r="J701" s="2"/>
      <c r="K701" s="2"/>
      <c r="N701" s="2"/>
    </row>
    <row r="702" spans="9:14">
      <c r="I702" s="2"/>
      <c r="J702" s="2"/>
      <c r="K702" s="2"/>
      <c r="N702" s="2"/>
    </row>
    <row r="703" spans="9:14">
      <c r="I703" s="2"/>
      <c r="J703" s="2"/>
      <c r="K703" s="2"/>
      <c r="N703" s="2"/>
    </row>
    <row r="704" spans="9:14">
      <c r="I704" s="2"/>
      <c r="J704" s="2"/>
      <c r="K704" s="2"/>
      <c r="N704" s="2"/>
    </row>
    <row r="705" spans="9:14">
      <c r="I705" s="2"/>
      <c r="J705" s="2"/>
      <c r="K705" s="2"/>
      <c r="N705" s="2"/>
    </row>
    <row r="706" spans="9:14">
      <c r="I706" s="2"/>
      <c r="J706" s="2"/>
      <c r="K706" s="2"/>
      <c r="N706" s="2"/>
    </row>
    <row r="707" spans="9:14">
      <c r="I707" s="2"/>
      <c r="J707" s="2"/>
      <c r="K707" s="2"/>
      <c r="N707" s="2"/>
    </row>
    <row r="708" spans="9:14">
      <c r="I708" s="2"/>
      <c r="J708" s="2"/>
      <c r="K708" s="2"/>
      <c r="N708" s="2"/>
    </row>
    <row r="709" spans="9:14">
      <c r="I709" s="2"/>
      <c r="J709" s="2"/>
      <c r="K709" s="2"/>
      <c r="N709" s="2"/>
    </row>
    <row r="710" spans="9:14">
      <c r="I710" s="2"/>
      <c r="J710" s="2"/>
      <c r="K710" s="2"/>
      <c r="N710" s="2"/>
    </row>
    <row r="711" spans="9:14">
      <c r="I711" s="2"/>
      <c r="J711" s="2"/>
      <c r="K711" s="2"/>
      <c r="N711" s="2"/>
    </row>
    <row r="712" spans="9:14">
      <c r="I712" s="2"/>
      <c r="J712" s="2"/>
      <c r="K712" s="2"/>
      <c r="N712" s="2"/>
    </row>
    <row r="713" spans="9:14">
      <c r="I713" s="2"/>
      <c r="J713" s="2"/>
      <c r="K713" s="2"/>
      <c r="N713" s="2"/>
    </row>
    <row r="714" spans="9:14">
      <c r="I714" s="2"/>
      <c r="J714" s="2"/>
      <c r="K714" s="2"/>
      <c r="N714" s="2"/>
    </row>
    <row r="715" spans="9:14">
      <c r="I715" s="2"/>
      <c r="J715" s="2"/>
      <c r="K715" s="2"/>
      <c r="N715" s="2"/>
    </row>
    <row r="716" spans="9:14">
      <c r="I716" s="2"/>
      <c r="J716" s="2"/>
      <c r="K716" s="2"/>
      <c r="N716" s="2"/>
    </row>
    <row r="717" spans="9:14">
      <c r="I717" s="2"/>
      <c r="J717" s="2"/>
      <c r="K717" s="2"/>
      <c r="N717" s="2"/>
    </row>
    <row r="718" spans="9:14">
      <c r="I718" s="2"/>
      <c r="J718" s="2"/>
      <c r="K718" s="2"/>
      <c r="N718" s="2"/>
    </row>
    <row r="719" spans="9:14">
      <c r="I719" s="2"/>
      <c r="J719" s="2"/>
      <c r="K719" s="2"/>
      <c r="N719" s="2"/>
    </row>
    <row r="720" spans="9:14">
      <c r="I720" s="2"/>
      <c r="J720" s="2"/>
      <c r="K720" s="2"/>
      <c r="N720" s="2"/>
    </row>
    <row r="721" spans="9:14">
      <c r="I721" s="2"/>
      <c r="J721" s="2"/>
      <c r="K721" s="2"/>
      <c r="N721" s="2"/>
    </row>
    <row r="722" spans="9:14">
      <c r="I722" s="2"/>
      <c r="J722" s="2"/>
      <c r="K722" s="2"/>
      <c r="N722" s="2"/>
    </row>
    <row r="723" spans="9:14">
      <c r="I723" s="2"/>
      <c r="J723" s="2"/>
      <c r="K723" s="2"/>
      <c r="N723" s="2"/>
    </row>
    <row r="724" spans="9:14">
      <c r="I724" s="2"/>
      <c r="J724" s="2"/>
      <c r="K724" s="2"/>
      <c r="N724" s="2"/>
    </row>
    <row r="725" spans="9:14">
      <c r="I725" s="2"/>
      <c r="J725" s="2"/>
      <c r="K725" s="2"/>
      <c r="N725" s="2"/>
    </row>
    <row r="726" spans="9:14">
      <c r="I726" s="2"/>
      <c r="J726" s="2"/>
      <c r="K726" s="2"/>
      <c r="N726" s="2"/>
    </row>
    <row r="727" spans="9:14">
      <c r="I727" s="2"/>
      <c r="J727" s="2"/>
      <c r="K727" s="2"/>
      <c r="N727" s="2"/>
    </row>
    <row r="728" spans="9:14">
      <c r="I728" s="2"/>
      <c r="J728" s="2"/>
      <c r="K728" s="2"/>
      <c r="N728" s="2"/>
    </row>
    <row r="729" spans="9:14">
      <c r="I729" s="2"/>
      <c r="J729" s="2"/>
      <c r="K729" s="2"/>
      <c r="N729" s="2"/>
    </row>
    <row r="730" spans="9:14">
      <c r="I730" s="2"/>
      <c r="J730" s="2"/>
      <c r="K730" s="2"/>
      <c r="N730" s="2"/>
    </row>
    <row r="731" spans="9:14">
      <c r="I731" s="2"/>
      <c r="J731" s="2"/>
      <c r="K731" s="2"/>
      <c r="N731" s="2"/>
    </row>
    <row r="732" spans="9:14">
      <c r="I732" s="2"/>
      <c r="J732" s="2"/>
      <c r="K732" s="2"/>
      <c r="N732" s="2"/>
    </row>
    <row r="733" spans="9:14">
      <c r="I733" s="2"/>
      <c r="J733" s="2"/>
      <c r="K733" s="2"/>
      <c r="N733" s="2"/>
    </row>
    <row r="734" spans="9:14">
      <c r="I734" s="2"/>
      <c r="J734" s="2"/>
      <c r="K734" s="2"/>
      <c r="N734" s="2"/>
    </row>
    <row r="735" spans="9:14">
      <c r="I735" s="2"/>
      <c r="J735" s="2"/>
      <c r="K735" s="2"/>
      <c r="N735" s="2"/>
    </row>
    <row r="736" spans="9:14">
      <c r="I736" s="2"/>
      <c r="J736" s="2"/>
      <c r="K736" s="2"/>
      <c r="N736" s="2"/>
    </row>
    <row r="737" spans="9:14">
      <c r="I737" s="2"/>
      <c r="J737" s="2"/>
      <c r="K737" s="2"/>
      <c r="N737" s="2"/>
    </row>
    <row r="738" spans="9:14">
      <c r="I738" s="2"/>
      <c r="J738" s="2"/>
      <c r="K738" s="2"/>
      <c r="N738" s="2"/>
    </row>
    <row r="739" spans="9:14">
      <c r="I739" s="2"/>
      <c r="J739" s="2"/>
      <c r="K739" s="2"/>
      <c r="N739" s="2"/>
    </row>
    <row r="740" spans="9:14">
      <c r="I740" s="2"/>
      <c r="J740" s="2"/>
      <c r="K740" s="2"/>
      <c r="N740" s="2"/>
    </row>
    <row r="741" spans="9:14">
      <c r="I741" s="2"/>
      <c r="J741" s="2"/>
      <c r="K741" s="2"/>
      <c r="N741" s="2"/>
    </row>
    <row r="742" spans="9:14">
      <c r="I742" s="2"/>
      <c r="J742" s="2"/>
      <c r="K742" s="2"/>
      <c r="N742" s="2"/>
    </row>
    <row r="743" spans="9:14">
      <c r="I743" s="2"/>
      <c r="J743" s="2"/>
      <c r="K743" s="2"/>
      <c r="N743" s="2"/>
    </row>
    <row r="744" spans="9:14">
      <c r="I744" s="2"/>
      <c r="J744" s="2"/>
      <c r="K744" s="2"/>
      <c r="N744" s="2"/>
    </row>
    <row r="745" spans="9:14">
      <c r="I745" s="2"/>
      <c r="J745" s="2"/>
      <c r="K745" s="2"/>
      <c r="N745" s="2"/>
    </row>
    <row r="746" spans="9:14">
      <c r="I746" s="2"/>
      <c r="J746" s="2"/>
      <c r="K746" s="2"/>
      <c r="N746" s="2"/>
    </row>
    <row r="747" spans="9:14">
      <c r="I747" s="2"/>
      <c r="J747" s="2"/>
      <c r="K747" s="2"/>
      <c r="N747" s="2"/>
    </row>
    <row r="748" spans="9:14">
      <c r="I748" s="2"/>
      <c r="J748" s="2"/>
      <c r="K748" s="2"/>
      <c r="N748" s="2"/>
    </row>
    <row r="749" spans="9:14">
      <c r="I749" s="2"/>
      <c r="J749" s="2"/>
      <c r="K749" s="2"/>
      <c r="N749" s="2"/>
    </row>
    <row r="750" spans="9:14">
      <c r="I750" s="2"/>
      <c r="J750" s="2"/>
      <c r="K750" s="2"/>
      <c r="N750" s="2"/>
    </row>
    <row r="751" spans="9:14">
      <c r="I751" s="2"/>
      <c r="J751" s="2"/>
      <c r="K751" s="2"/>
      <c r="N751" s="2"/>
    </row>
    <row r="752" spans="9:14">
      <c r="I752" s="2"/>
      <c r="J752" s="2"/>
      <c r="K752" s="2"/>
      <c r="N752" s="2"/>
    </row>
    <row r="753" spans="9:14">
      <c r="I753" s="2"/>
      <c r="J753" s="2"/>
      <c r="K753" s="2"/>
      <c r="N753" s="2"/>
    </row>
    <row r="754" spans="9:14">
      <c r="I754" s="2"/>
      <c r="J754" s="2"/>
      <c r="K754" s="2"/>
      <c r="N754" s="2"/>
    </row>
    <row r="755" spans="9:14">
      <c r="I755" s="2"/>
      <c r="J755" s="2"/>
      <c r="K755" s="2"/>
      <c r="N755" s="2"/>
    </row>
    <row r="756" spans="9:14">
      <c r="I756" s="2"/>
      <c r="J756" s="2"/>
      <c r="K756" s="2"/>
      <c r="N756" s="2"/>
    </row>
    <row r="757" spans="9:14">
      <c r="I757" s="2"/>
      <c r="J757" s="2"/>
      <c r="K757" s="2"/>
      <c r="N757" s="2"/>
    </row>
    <row r="758" spans="9:14">
      <c r="I758" s="2"/>
      <c r="J758" s="2"/>
      <c r="K758" s="2"/>
      <c r="N758" s="2"/>
    </row>
    <row r="759" spans="9:14">
      <c r="I759" s="2"/>
      <c r="J759" s="2"/>
      <c r="K759" s="2"/>
      <c r="N759" s="2"/>
    </row>
    <row r="760" spans="9:14">
      <c r="I760" s="2"/>
      <c r="J760" s="2"/>
      <c r="K760" s="2"/>
      <c r="N760" s="2"/>
    </row>
    <row r="761" spans="9:14">
      <c r="I761" s="2"/>
      <c r="J761" s="2"/>
      <c r="K761" s="2"/>
      <c r="N761" s="2"/>
    </row>
    <row r="762" spans="9:14">
      <c r="I762" s="2"/>
      <c r="J762" s="2"/>
      <c r="K762" s="2"/>
      <c r="N762" s="2"/>
    </row>
    <row r="763" spans="9:14">
      <c r="I763" s="2"/>
      <c r="J763" s="2"/>
      <c r="K763" s="2"/>
      <c r="N763" s="2"/>
    </row>
    <row r="764" spans="9:14">
      <c r="I764" s="2"/>
      <c r="J764" s="2"/>
      <c r="K764" s="2"/>
      <c r="N764" s="2"/>
    </row>
    <row r="765" spans="9:14">
      <c r="I765" s="2"/>
      <c r="J765" s="2"/>
      <c r="K765" s="2"/>
      <c r="N765" s="2"/>
    </row>
    <row r="766" spans="9:14">
      <c r="I766" s="2"/>
      <c r="J766" s="2"/>
      <c r="K766" s="2"/>
      <c r="N766" s="2"/>
    </row>
    <row r="767" spans="9:14">
      <c r="I767" s="2"/>
      <c r="J767" s="2"/>
      <c r="K767" s="2"/>
      <c r="N767" s="2"/>
    </row>
    <row r="768" spans="9:14">
      <c r="I768" s="2"/>
      <c r="J768" s="2"/>
      <c r="K768" s="2"/>
      <c r="N768" s="2"/>
    </row>
    <row r="769" spans="9:14">
      <c r="I769" s="2"/>
      <c r="J769" s="2"/>
      <c r="K769" s="2"/>
      <c r="N769" s="2"/>
    </row>
    <row r="770" spans="9:14">
      <c r="I770" s="2"/>
      <c r="J770" s="2"/>
      <c r="K770" s="2"/>
      <c r="N770" s="2"/>
    </row>
    <row r="771" spans="9:14">
      <c r="I771" s="2"/>
      <c r="J771" s="2"/>
      <c r="K771" s="2"/>
      <c r="N771" s="2"/>
    </row>
    <row r="772" spans="9:14">
      <c r="I772" s="2"/>
      <c r="J772" s="2"/>
      <c r="K772" s="2"/>
      <c r="N772" s="2"/>
    </row>
    <row r="773" spans="9:14">
      <c r="I773" s="2"/>
      <c r="J773" s="2"/>
      <c r="K773" s="2"/>
      <c r="N773" s="2"/>
    </row>
    <row r="774" spans="9:14">
      <c r="I774" s="2"/>
      <c r="J774" s="2"/>
      <c r="K774" s="2"/>
      <c r="N774" s="2"/>
    </row>
    <row r="775" spans="9:14">
      <c r="I775" s="2"/>
      <c r="J775" s="2"/>
      <c r="K775" s="2"/>
      <c r="N775" s="2"/>
    </row>
    <row r="776" spans="9:14">
      <c r="I776" s="2"/>
      <c r="J776" s="2"/>
      <c r="K776" s="2"/>
      <c r="N776" s="2"/>
    </row>
    <row r="777" spans="9:14">
      <c r="I777" s="2"/>
      <c r="J777" s="2"/>
      <c r="K777" s="2"/>
      <c r="N777" s="2"/>
    </row>
    <row r="778" spans="9:14">
      <c r="I778" s="2"/>
      <c r="J778" s="2"/>
      <c r="K778" s="2"/>
      <c r="N778" s="2"/>
    </row>
    <row r="779" spans="9:14">
      <c r="I779" s="2"/>
      <c r="J779" s="2"/>
      <c r="K779" s="2"/>
      <c r="N779" s="2"/>
    </row>
    <row r="780" spans="9:14">
      <c r="I780" s="2"/>
      <c r="J780" s="2"/>
      <c r="K780" s="2"/>
      <c r="N780" s="2"/>
    </row>
    <row r="781" spans="9:14">
      <c r="I781" s="2"/>
      <c r="J781" s="2"/>
      <c r="K781" s="2"/>
      <c r="N781" s="2"/>
    </row>
    <row r="782" spans="9:14">
      <c r="I782" s="2"/>
      <c r="J782" s="2"/>
      <c r="K782" s="2"/>
      <c r="N782" s="2"/>
    </row>
    <row r="783" spans="9:14">
      <c r="I783" s="2"/>
      <c r="J783" s="2"/>
      <c r="K783" s="2"/>
      <c r="N783" s="2"/>
    </row>
    <row r="784" spans="9:14">
      <c r="I784" s="2"/>
      <c r="J784" s="2"/>
      <c r="K784" s="2"/>
      <c r="N784" s="2"/>
    </row>
    <row r="785" spans="9:14">
      <c r="I785" s="2"/>
      <c r="J785" s="2"/>
      <c r="K785" s="2"/>
      <c r="N785" s="2"/>
    </row>
    <row r="786" spans="9:14">
      <c r="I786" s="2"/>
      <c r="J786" s="2"/>
      <c r="K786" s="2"/>
      <c r="N786" s="2"/>
    </row>
    <row r="787" spans="9:14">
      <c r="I787" s="2"/>
      <c r="J787" s="2"/>
      <c r="K787" s="2"/>
      <c r="N787" s="2"/>
    </row>
    <row r="788" spans="9:14">
      <c r="I788" s="2"/>
      <c r="J788" s="2"/>
      <c r="K788" s="2"/>
      <c r="N788" s="2"/>
    </row>
    <row r="789" spans="9:14">
      <c r="I789" s="2"/>
      <c r="J789" s="2"/>
      <c r="K789" s="2"/>
      <c r="N789" s="2"/>
    </row>
    <row r="790" spans="9:14">
      <c r="I790" s="2"/>
      <c r="J790" s="2"/>
      <c r="K790" s="2"/>
      <c r="N790" s="2"/>
    </row>
    <row r="791" spans="9:14">
      <c r="I791" s="2"/>
      <c r="J791" s="2"/>
      <c r="K791" s="2"/>
      <c r="N791" s="2"/>
    </row>
    <row r="792" spans="9:14">
      <c r="I792" s="2"/>
      <c r="J792" s="2"/>
      <c r="K792" s="2"/>
      <c r="N792" s="2"/>
    </row>
    <row r="793" spans="9:14">
      <c r="I793" s="2"/>
      <c r="J793" s="2"/>
      <c r="K793" s="2"/>
      <c r="N793" s="2"/>
    </row>
    <row r="794" spans="9:14">
      <c r="I794" s="2"/>
      <c r="J794" s="2"/>
      <c r="K794" s="2"/>
      <c r="N794" s="2"/>
    </row>
    <row r="795" spans="9:14">
      <c r="I795" s="2"/>
      <c r="J795" s="2"/>
      <c r="K795" s="2"/>
      <c r="N795" s="2"/>
    </row>
    <row r="796" spans="9:14">
      <c r="I796" s="2"/>
      <c r="J796" s="2"/>
      <c r="K796" s="2"/>
      <c r="N796" s="2"/>
    </row>
    <row r="797" spans="9:14">
      <c r="I797" s="2"/>
      <c r="J797" s="2"/>
      <c r="K797" s="2"/>
      <c r="N797" s="2"/>
    </row>
    <row r="798" spans="9:14">
      <c r="I798" s="2"/>
      <c r="J798" s="2"/>
      <c r="K798" s="2"/>
      <c r="N798" s="2"/>
    </row>
    <row r="799" spans="9:14">
      <c r="I799" s="2"/>
      <c r="J799" s="2"/>
      <c r="K799" s="2"/>
      <c r="N799" s="2"/>
    </row>
    <row r="800" spans="9:14">
      <c r="I800" s="2"/>
      <c r="J800" s="2"/>
      <c r="K800" s="2"/>
      <c r="N800" s="2"/>
    </row>
    <row r="801" spans="9:14">
      <c r="I801" s="2"/>
      <c r="J801" s="2"/>
      <c r="K801" s="2"/>
      <c r="N801" s="2"/>
    </row>
    <row r="802" spans="9:14">
      <c r="I802" s="2"/>
      <c r="J802" s="2"/>
      <c r="K802" s="2"/>
      <c r="N802" s="2"/>
    </row>
    <row r="803" spans="9:14">
      <c r="I803" s="2"/>
      <c r="J803" s="2"/>
      <c r="K803" s="2"/>
      <c r="N803" s="2"/>
    </row>
    <row r="804" spans="9:14">
      <c r="I804" s="2"/>
      <c r="J804" s="2"/>
      <c r="K804" s="2"/>
      <c r="N804" s="2"/>
    </row>
    <row r="805" spans="9:14">
      <c r="I805" s="2"/>
      <c r="J805" s="2"/>
      <c r="K805" s="2"/>
      <c r="N805" s="2"/>
    </row>
    <row r="806" spans="9:14">
      <c r="I806" s="2"/>
      <c r="J806" s="2"/>
      <c r="K806" s="2"/>
      <c r="N806" s="2"/>
    </row>
    <row r="807" spans="9:14">
      <c r="I807" s="2"/>
      <c r="J807" s="2"/>
      <c r="K807" s="2"/>
      <c r="N807" s="2"/>
    </row>
    <row r="808" spans="9:14">
      <c r="I808" s="2"/>
      <c r="J808" s="2"/>
      <c r="K808" s="2"/>
      <c r="N808" s="2"/>
    </row>
    <row r="809" spans="9:14">
      <c r="I809" s="2"/>
      <c r="J809" s="2"/>
      <c r="K809" s="2"/>
      <c r="N809" s="2"/>
    </row>
    <row r="810" spans="9:14">
      <c r="I810" s="2"/>
      <c r="J810" s="2"/>
      <c r="K810" s="2"/>
      <c r="N810" s="2"/>
    </row>
    <row r="811" spans="9:14">
      <c r="I811" s="2"/>
      <c r="J811" s="2"/>
      <c r="K811" s="2"/>
      <c r="N811" s="2"/>
    </row>
    <row r="812" spans="9:14">
      <c r="I812" s="2"/>
      <c r="J812" s="2"/>
      <c r="K812" s="2"/>
      <c r="N812" s="2"/>
    </row>
    <row r="813" spans="9:14">
      <c r="I813" s="2"/>
      <c r="J813" s="2"/>
      <c r="K813" s="2"/>
      <c r="N813" s="2"/>
    </row>
    <row r="814" spans="9:14">
      <c r="I814" s="2"/>
      <c r="J814" s="2"/>
      <c r="K814" s="2"/>
      <c r="N814" s="2"/>
    </row>
    <row r="815" spans="9:14">
      <c r="I815" s="2"/>
      <c r="J815" s="2"/>
      <c r="K815" s="2"/>
      <c r="N815" s="2"/>
    </row>
    <row r="816" spans="9:14">
      <c r="I816" s="2"/>
      <c r="J816" s="2"/>
      <c r="K816" s="2"/>
      <c r="N816" s="2"/>
    </row>
    <row r="817" spans="9:14">
      <c r="I817" s="2"/>
      <c r="J817" s="2"/>
      <c r="K817" s="2"/>
      <c r="N817" s="2"/>
    </row>
    <row r="818" spans="9:14">
      <c r="I818" s="2"/>
      <c r="J818" s="2"/>
      <c r="K818" s="2"/>
      <c r="N818" s="2"/>
    </row>
    <row r="819" spans="9:14">
      <c r="I819" s="2"/>
      <c r="J819" s="2"/>
      <c r="K819" s="2"/>
      <c r="N819" s="2"/>
    </row>
    <row r="820" spans="9:14">
      <c r="I820" s="2"/>
      <c r="J820" s="2"/>
      <c r="K820" s="2"/>
      <c r="N820" s="2"/>
    </row>
    <row r="821" spans="9:14">
      <c r="I821" s="2"/>
      <c r="J821" s="2"/>
      <c r="K821" s="2"/>
      <c r="N821" s="2"/>
    </row>
    <row r="822" spans="9:14">
      <c r="I822" s="2"/>
      <c r="J822" s="2"/>
      <c r="K822" s="2"/>
      <c r="N822" s="2"/>
    </row>
    <row r="823" spans="9:14">
      <c r="I823" s="2"/>
      <c r="J823" s="2"/>
      <c r="K823" s="2"/>
      <c r="N823" s="2"/>
    </row>
    <row r="824" spans="9:14">
      <c r="I824" s="2"/>
      <c r="J824" s="2"/>
      <c r="K824" s="2"/>
      <c r="N824" s="2"/>
    </row>
    <row r="825" spans="9:14">
      <c r="I825" s="2"/>
      <c r="J825" s="2"/>
      <c r="K825" s="2"/>
      <c r="N825" s="2"/>
    </row>
    <row r="826" spans="9:14">
      <c r="I826" s="2"/>
      <c r="J826" s="2"/>
      <c r="K826" s="2"/>
      <c r="N826" s="2"/>
    </row>
    <row r="827" spans="9:14">
      <c r="I827" s="2"/>
      <c r="J827" s="2"/>
      <c r="K827" s="2"/>
      <c r="N827" s="2"/>
    </row>
    <row r="828" spans="9:14">
      <c r="I828" s="2"/>
      <c r="J828" s="2"/>
      <c r="K828" s="2"/>
      <c r="N828" s="2"/>
    </row>
    <row r="829" spans="9:14">
      <c r="I829" s="2"/>
      <c r="J829" s="2"/>
      <c r="K829" s="2"/>
      <c r="N829" s="2"/>
    </row>
    <row r="830" spans="9:14">
      <c r="I830" s="2"/>
      <c r="J830" s="2"/>
      <c r="K830" s="2"/>
      <c r="N830" s="2"/>
    </row>
    <row r="831" spans="9:14">
      <c r="I831" s="2"/>
      <c r="J831" s="2"/>
      <c r="K831" s="2"/>
      <c r="N831" s="2"/>
    </row>
    <row r="832" spans="9:14">
      <c r="I832" s="2"/>
      <c r="J832" s="2"/>
      <c r="K832" s="2"/>
      <c r="N832" s="2"/>
    </row>
    <row r="833" spans="9:14">
      <c r="I833" s="2"/>
      <c r="J833" s="2"/>
      <c r="K833" s="2"/>
      <c r="N833" s="2"/>
    </row>
    <row r="834" spans="9:14">
      <c r="I834" s="2"/>
      <c r="J834" s="2"/>
      <c r="K834" s="2"/>
      <c r="N834" s="2"/>
    </row>
    <row r="835" spans="9:14">
      <c r="I835" s="2"/>
      <c r="J835" s="2"/>
      <c r="K835" s="2"/>
      <c r="N835" s="2"/>
    </row>
    <row r="836" spans="9:14">
      <c r="I836" s="2"/>
      <c r="J836" s="2"/>
      <c r="K836" s="2"/>
      <c r="N836" s="2"/>
    </row>
    <row r="837" spans="9:14">
      <c r="I837" s="2"/>
      <c r="J837" s="2"/>
      <c r="K837" s="2"/>
      <c r="N837" s="2"/>
    </row>
    <row r="838" spans="9:14">
      <c r="I838" s="2"/>
      <c r="J838" s="2"/>
      <c r="K838" s="2"/>
      <c r="N838" s="2"/>
    </row>
    <row r="839" spans="9:14">
      <c r="I839" s="2"/>
      <c r="J839" s="2"/>
      <c r="K839" s="2"/>
      <c r="N839" s="2"/>
    </row>
    <row r="840" spans="9:14">
      <c r="I840" s="2"/>
      <c r="J840" s="2"/>
      <c r="K840" s="2"/>
      <c r="N840" s="2"/>
    </row>
    <row r="841" spans="9:14">
      <c r="I841" s="2"/>
      <c r="J841" s="2"/>
      <c r="K841" s="2"/>
      <c r="N841" s="2"/>
    </row>
    <row r="842" spans="9:14">
      <c r="I842" s="2"/>
      <c r="J842" s="2"/>
      <c r="K842" s="2"/>
      <c r="N842" s="2"/>
    </row>
    <row r="843" spans="9:14">
      <c r="I843" s="2"/>
      <c r="J843" s="2"/>
      <c r="K843" s="2"/>
      <c r="N843" s="2"/>
    </row>
    <row r="844" spans="9:14">
      <c r="I844" s="2"/>
      <c r="J844" s="2"/>
      <c r="K844" s="2"/>
      <c r="N844" s="2"/>
    </row>
    <row r="845" spans="9:14">
      <c r="I845" s="2"/>
      <c r="J845" s="2"/>
      <c r="K845" s="2"/>
      <c r="N845" s="2"/>
    </row>
    <row r="846" spans="9:14">
      <c r="I846" s="2"/>
      <c r="J846" s="2"/>
      <c r="K846" s="2"/>
      <c r="N846" s="2"/>
    </row>
    <row r="847" spans="9:14">
      <c r="I847" s="2"/>
      <c r="J847" s="2"/>
      <c r="K847" s="2"/>
      <c r="N847" s="2"/>
    </row>
    <row r="848" spans="9:14">
      <c r="I848" s="2"/>
      <c r="J848" s="2"/>
      <c r="K848" s="2"/>
      <c r="N848" s="2"/>
    </row>
    <row r="849" spans="9:14">
      <c r="I849" s="2"/>
      <c r="J849" s="2"/>
      <c r="K849" s="2"/>
      <c r="N849" s="2"/>
    </row>
    <row r="850" spans="9:14">
      <c r="I850" s="2"/>
      <c r="J850" s="2"/>
      <c r="K850" s="2"/>
      <c r="N850" s="2"/>
    </row>
    <row r="851" spans="9:14">
      <c r="I851" s="2"/>
      <c r="J851" s="2"/>
      <c r="K851" s="2"/>
      <c r="N851" s="2"/>
    </row>
    <row r="852" spans="9:14">
      <c r="I852" s="2"/>
      <c r="J852" s="2"/>
      <c r="K852" s="2"/>
      <c r="N852" s="2"/>
    </row>
    <row r="853" spans="9:14">
      <c r="I853" s="2"/>
      <c r="J853" s="2"/>
      <c r="K853" s="2"/>
      <c r="N853" s="2"/>
    </row>
    <row r="854" spans="9:14">
      <c r="I854" s="2"/>
      <c r="J854" s="2"/>
      <c r="K854" s="2"/>
      <c r="N854" s="2"/>
    </row>
    <row r="855" spans="9:14">
      <c r="I855" s="2"/>
      <c r="J855" s="2"/>
      <c r="K855" s="2"/>
      <c r="N855" s="2"/>
    </row>
    <row r="856" spans="9:14">
      <c r="I856" s="2"/>
      <c r="J856" s="2"/>
      <c r="K856" s="2"/>
      <c r="N856" s="2"/>
    </row>
    <row r="857" spans="9:14">
      <c r="I857" s="2"/>
      <c r="J857" s="2"/>
      <c r="K857" s="2"/>
      <c r="N857" s="2"/>
    </row>
    <row r="858" spans="9:14">
      <c r="I858" s="2"/>
      <c r="J858" s="2"/>
      <c r="K858" s="2"/>
      <c r="N858" s="2"/>
    </row>
    <row r="859" spans="9:14">
      <c r="I859" s="2"/>
      <c r="J859" s="2"/>
      <c r="K859" s="2"/>
      <c r="N859" s="2"/>
    </row>
    <row r="860" spans="9:14">
      <c r="I860" s="2"/>
      <c r="J860" s="2"/>
      <c r="K860" s="2"/>
      <c r="N860" s="2"/>
    </row>
    <row r="861" spans="9:14">
      <c r="I861" s="2"/>
      <c r="J861" s="2"/>
      <c r="K861" s="2"/>
      <c r="N861" s="2"/>
    </row>
    <row r="862" spans="9:14">
      <c r="I862" s="2"/>
      <c r="J862" s="2"/>
      <c r="K862" s="2"/>
      <c r="N862" s="2"/>
    </row>
    <row r="863" spans="9:14">
      <c r="I863" s="2"/>
      <c r="J863" s="2"/>
      <c r="K863" s="2"/>
      <c r="N863" s="2"/>
    </row>
    <row r="864" spans="9:14">
      <c r="I864" s="2"/>
      <c r="J864" s="2"/>
      <c r="K864" s="2"/>
      <c r="N864" s="2"/>
    </row>
    <row r="865" spans="9:14">
      <c r="I865" s="2"/>
      <c r="J865" s="2"/>
      <c r="K865" s="2"/>
      <c r="N865" s="2"/>
    </row>
    <row r="866" spans="9:14">
      <c r="I866" s="2"/>
      <c r="J866" s="2"/>
      <c r="K866" s="2"/>
      <c r="N866" s="2"/>
    </row>
    <row r="867" spans="9:14">
      <c r="I867" s="2"/>
      <c r="J867" s="2"/>
      <c r="K867" s="2"/>
      <c r="N867" s="2"/>
    </row>
    <row r="868" spans="9:14">
      <c r="I868" s="2"/>
      <c r="J868" s="2"/>
      <c r="K868" s="2"/>
      <c r="N868" s="2"/>
    </row>
    <row r="869" spans="9:14">
      <c r="I869" s="2"/>
      <c r="J869" s="2"/>
      <c r="K869" s="2"/>
      <c r="N869" s="2"/>
    </row>
    <row r="870" spans="9:14">
      <c r="I870" s="2"/>
      <c r="J870" s="2"/>
      <c r="K870" s="2"/>
      <c r="N870" s="2"/>
    </row>
    <row r="871" spans="9:14">
      <c r="I871" s="2"/>
      <c r="J871" s="2"/>
      <c r="K871" s="2"/>
      <c r="N871" s="2"/>
    </row>
    <row r="872" spans="9:14">
      <c r="I872" s="2"/>
      <c r="J872" s="2"/>
      <c r="K872" s="2"/>
      <c r="N872" s="2"/>
    </row>
    <row r="873" spans="9:14">
      <c r="I873" s="2"/>
      <c r="J873" s="2"/>
      <c r="K873" s="2"/>
      <c r="N873" s="2"/>
    </row>
    <row r="874" spans="9:14">
      <c r="I874" s="2"/>
      <c r="J874" s="2"/>
      <c r="K874" s="2"/>
      <c r="N874" s="2"/>
    </row>
    <row r="875" spans="9:14">
      <c r="I875" s="2"/>
      <c r="J875" s="2"/>
      <c r="K875" s="2"/>
      <c r="N875" s="2"/>
    </row>
    <row r="876" spans="9:14">
      <c r="I876" s="2"/>
      <c r="J876" s="2"/>
      <c r="K876" s="2"/>
      <c r="N876" s="2"/>
    </row>
    <row r="877" spans="9:14">
      <c r="I877" s="2"/>
      <c r="J877" s="2"/>
      <c r="K877" s="2"/>
      <c r="N877" s="2"/>
    </row>
    <row r="878" spans="9:14">
      <c r="I878" s="2"/>
      <c r="J878" s="2"/>
      <c r="K878" s="2"/>
      <c r="N878" s="2"/>
    </row>
    <row r="879" spans="9:14">
      <c r="I879" s="2"/>
      <c r="J879" s="2"/>
      <c r="K879" s="2"/>
      <c r="N879" s="2"/>
    </row>
    <row r="880" spans="9:14">
      <c r="I880" s="2"/>
      <c r="J880" s="2"/>
      <c r="K880" s="2"/>
      <c r="N880" s="2"/>
    </row>
    <row r="881" spans="9:14">
      <c r="I881" s="2"/>
      <c r="J881" s="2"/>
      <c r="K881" s="2"/>
      <c r="N881" s="2"/>
    </row>
    <row r="882" spans="9:14">
      <c r="I882" s="2"/>
      <c r="J882" s="2"/>
      <c r="K882" s="2"/>
      <c r="N882" s="2"/>
    </row>
    <row r="883" spans="9:14">
      <c r="I883" s="2"/>
      <c r="J883" s="2"/>
      <c r="K883" s="2"/>
      <c r="N883" s="2"/>
    </row>
    <row r="884" spans="9:14">
      <c r="I884" s="2"/>
      <c r="J884" s="2"/>
      <c r="K884" s="2"/>
      <c r="N884" s="2"/>
    </row>
    <row r="885" spans="9:14">
      <c r="I885" s="2"/>
      <c r="J885" s="2"/>
      <c r="K885" s="2"/>
      <c r="N885" s="2"/>
    </row>
    <row r="886" spans="9:14">
      <c r="I886" s="2"/>
      <c r="J886" s="2"/>
      <c r="K886" s="2"/>
      <c r="N886" s="2"/>
    </row>
    <row r="887" spans="9:14">
      <c r="I887" s="2"/>
      <c r="J887" s="2"/>
      <c r="K887" s="2"/>
      <c r="N887" s="2"/>
    </row>
    <row r="888" spans="9:14">
      <c r="I888" s="2"/>
      <c r="J888" s="2"/>
      <c r="K888" s="2"/>
      <c r="N888" s="2"/>
    </row>
    <row r="889" spans="9:14">
      <c r="I889" s="2"/>
      <c r="J889" s="2"/>
      <c r="K889" s="2"/>
      <c r="N889" s="2"/>
    </row>
    <row r="890" spans="9:14">
      <c r="I890" s="2"/>
      <c r="J890" s="2"/>
      <c r="K890" s="2"/>
      <c r="N890" s="2"/>
    </row>
    <row r="891" spans="9:14">
      <c r="I891" s="2"/>
      <c r="J891" s="2"/>
      <c r="K891" s="2"/>
      <c r="N891" s="2"/>
    </row>
    <row r="892" spans="9:14">
      <c r="I892" s="2"/>
      <c r="J892" s="2"/>
      <c r="K892" s="2"/>
      <c r="N892" s="2"/>
    </row>
    <row r="893" spans="9:14">
      <c r="I893" s="2"/>
      <c r="J893" s="2"/>
      <c r="K893" s="2"/>
      <c r="N893" s="2"/>
    </row>
    <row r="894" spans="9:14">
      <c r="I894" s="2"/>
      <c r="J894" s="2"/>
      <c r="K894" s="2"/>
      <c r="N894" s="2"/>
    </row>
    <row r="895" spans="9:14">
      <c r="I895" s="2"/>
      <c r="J895" s="2"/>
      <c r="K895" s="2"/>
      <c r="N895" s="2"/>
    </row>
    <row r="896" spans="9:14">
      <c r="I896" s="2"/>
      <c r="J896" s="2"/>
      <c r="K896" s="2"/>
      <c r="N896" s="2"/>
    </row>
    <row r="897" spans="9:14">
      <c r="I897" s="2"/>
      <c r="J897" s="2"/>
      <c r="K897" s="2"/>
      <c r="N897" s="2"/>
    </row>
    <row r="898" spans="9:14">
      <c r="I898" s="2"/>
      <c r="J898" s="2"/>
      <c r="K898" s="2"/>
      <c r="N898" s="2"/>
    </row>
    <row r="899" spans="9:14">
      <c r="I899" s="2"/>
      <c r="J899" s="2"/>
      <c r="K899" s="2"/>
      <c r="N899" s="2"/>
    </row>
    <row r="900" spans="9:14">
      <c r="I900" s="2"/>
      <c r="J900" s="2"/>
      <c r="K900" s="2"/>
      <c r="N900" s="2"/>
    </row>
    <row r="901" spans="9:14">
      <c r="I901" s="2"/>
      <c r="J901" s="2"/>
      <c r="K901" s="2"/>
      <c r="N901" s="2"/>
    </row>
    <row r="902" spans="9:14">
      <c r="I902" s="2"/>
      <c r="J902" s="2"/>
      <c r="K902" s="2"/>
      <c r="N902" s="2"/>
    </row>
    <row r="903" spans="9:14">
      <c r="I903" s="2"/>
      <c r="J903" s="2"/>
      <c r="K903" s="2"/>
      <c r="N903" s="2"/>
    </row>
    <row r="904" spans="9:14">
      <c r="I904" s="2"/>
      <c r="J904" s="2"/>
      <c r="K904" s="2"/>
      <c r="N904" s="2"/>
    </row>
    <row r="905" spans="9:14">
      <c r="I905" s="2"/>
      <c r="J905" s="2"/>
      <c r="K905" s="2"/>
      <c r="N905" s="2"/>
    </row>
    <row r="906" spans="9:14">
      <c r="I906" s="2"/>
      <c r="J906" s="2"/>
      <c r="K906" s="2"/>
      <c r="N906" s="2"/>
    </row>
    <row r="907" spans="9:14">
      <c r="I907" s="2"/>
      <c r="J907" s="2"/>
      <c r="K907" s="2"/>
      <c r="N907" s="2"/>
    </row>
    <row r="908" spans="9:14">
      <c r="I908" s="2"/>
      <c r="J908" s="2"/>
      <c r="K908" s="2"/>
      <c r="N908" s="2"/>
    </row>
    <row r="909" spans="9:14">
      <c r="I909" s="2"/>
      <c r="J909" s="2"/>
      <c r="K909" s="2"/>
      <c r="N909" s="2"/>
    </row>
    <row r="910" spans="9:14">
      <c r="I910" s="2"/>
      <c r="J910" s="2"/>
      <c r="K910" s="2"/>
      <c r="N910" s="2"/>
    </row>
    <row r="911" spans="9:14">
      <c r="I911" s="2"/>
      <c r="J911" s="2"/>
      <c r="K911" s="2"/>
      <c r="N911" s="2"/>
    </row>
    <row r="912" spans="9:14">
      <c r="I912" s="2"/>
      <c r="J912" s="2"/>
      <c r="K912" s="2"/>
      <c r="N912" s="2"/>
    </row>
    <row r="913" spans="9:14">
      <c r="I913" s="2"/>
      <c r="J913" s="2"/>
      <c r="K913" s="2"/>
      <c r="N913" s="2"/>
    </row>
    <row r="914" spans="9:14">
      <c r="I914" s="2"/>
      <c r="J914" s="2"/>
      <c r="K914" s="2"/>
      <c r="N914" s="2"/>
    </row>
    <row r="915" spans="9:14">
      <c r="I915" s="2"/>
      <c r="J915" s="2"/>
      <c r="K915" s="2"/>
      <c r="N915" s="2"/>
    </row>
    <row r="916" spans="9:14">
      <c r="I916" s="2"/>
      <c r="J916" s="2"/>
      <c r="K916" s="2"/>
      <c r="N916" s="2"/>
    </row>
    <row r="917" spans="9:14">
      <c r="I917" s="2"/>
      <c r="J917" s="2"/>
      <c r="K917" s="2"/>
      <c r="N917" s="2"/>
    </row>
    <row r="918" spans="9:14">
      <c r="I918" s="2"/>
      <c r="J918" s="2"/>
      <c r="K918" s="2"/>
      <c r="N918" s="2"/>
    </row>
    <row r="919" spans="9:14">
      <c r="I919" s="2"/>
      <c r="J919" s="2"/>
      <c r="K919" s="2"/>
      <c r="N919" s="2"/>
    </row>
    <row r="920" spans="9:14">
      <c r="I920" s="2"/>
      <c r="J920" s="2"/>
      <c r="K920" s="2"/>
      <c r="N920" s="2"/>
    </row>
    <row r="921" spans="9:14">
      <c r="I921" s="2"/>
      <c r="J921" s="2"/>
      <c r="K921" s="2"/>
      <c r="N921" s="2"/>
    </row>
    <row r="922" spans="9:14">
      <c r="I922" s="2"/>
      <c r="J922" s="2"/>
      <c r="K922" s="2"/>
      <c r="N922" s="2"/>
    </row>
    <row r="923" spans="9:14">
      <c r="I923" s="2"/>
      <c r="J923" s="2"/>
      <c r="K923" s="2"/>
      <c r="N923" s="2"/>
    </row>
    <row r="924" spans="9:14">
      <c r="I924" s="2"/>
      <c r="J924" s="2"/>
      <c r="K924" s="2"/>
      <c r="N924" s="2"/>
    </row>
    <row r="925" spans="9:14">
      <c r="I925" s="2"/>
      <c r="J925" s="2"/>
      <c r="K925" s="2"/>
      <c r="N925" s="2"/>
    </row>
    <row r="926" spans="9:14">
      <c r="I926" s="2"/>
      <c r="J926" s="2"/>
      <c r="K926" s="2"/>
      <c r="N926" s="2"/>
    </row>
    <row r="927" spans="9:14">
      <c r="I927" s="2"/>
      <c r="J927" s="2"/>
      <c r="K927" s="2"/>
      <c r="N927" s="2"/>
    </row>
    <row r="928" spans="9:14">
      <c r="I928" s="2"/>
      <c r="J928" s="2"/>
      <c r="K928" s="2"/>
      <c r="N928" s="2"/>
    </row>
    <row r="929" spans="9:14">
      <c r="I929" s="2"/>
      <c r="J929" s="2"/>
      <c r="K929" s="2"/>
      <c r="N929" s="2"/>
    </row>
    <row r="930" spans="9:14">
      <c r="I930" s="2"/>
      <c r="J930" s="2"/>
      <c r="K930" s="2"/>
      <c r="N930" s="2"/>
    </row>
    <row r="931" spans="9:14">
      <c r="I931" s="2"/>
      <c r="J931" s="2"/>
      <c r="K931" s="2"/>
      <c r="N931" s="2"/>
    </row>
    <row r="932" spans="9:14">
      <c r="I932" s="2"/>
      <c r="J932" s="2"/>
      <c r="K932" s="2"/>
      <c r="N932" s="2"/>
    </row>
    <row r="933" spans="9:14">
      <c r="I933" s="2"/>
      <c r="J933" s="2"/>
      <c r="K933" s="2"/>
      <c r="N933" s="2"/>
    </row>
    <row r="934" spans="9:14">
      <c r="I934" s="2"/>
      <c r="J934" s="2"/>
      <c r="K934" s="2"/>
      <c r="N934" s="2"/>
    </row>
    <row r="935" spans="9:14">
      <c r="I935" s="2"/>
      <c r="J935" s="2"/>
      <c r="K935" s="2"/>
      <c r="N935" s="2"/>
    </row>
    <row r="936" spans="9:14">
      <c r="I936" s="2"/>
      <c r="J936" s="2"/>
      <c r="K936" s="2"/>
      <c r="N936" s="2"/>
    </row>
    <row r="937" spans="9:14">
      <c r="I937" s="2"/>
      <c r="J937" s="2"/>
      <c r="K937" s="2"/>
      <c r="N937" s="2"/>
    </row>
    <row r="938" spans="9:14">
      <c r="I938" s="2"/>
      <c r="J938" s="2"/>
      <c r="K938" s="2"/>
      <c r="N938" s="2"/>
    </row>
    <row r="939" spans="9:14">
      <c r="I939" s="2"/>
      <c r="J939" s="2"/>
      <c r="K939" s="2"/>
      <c r="N939" s="2"/>
    </row>
    <row r="940" spans="9:14">
      <c r="I940" s="2"/>
      <c r="J940" s="2"/>
      <c r="K940" s="2"/>
      <c r="N940" s="2"/>
    </row>
    <row r="941" spans="9:14">
      <c r="I941" s="2"/>
      <c r="J941" s="2"/>
      <c r="K941" s="2"/>
      <c r="N941" s="2"/>
    </row>
    <row r="942" spans="9:14">
      <c r="I942" s="2"/>
      <c r="J942" s="2"/>
      <c r="K942" s="2"/>
      <c r="N942" s="2"/>
    </row>
    <row r="943" spans="9:14">
      <c r="I943" s="2"/>
      <c r="J943" s="2"/>
      <c r="K943" s="2"/>
      <c r="N943" s="2"/>
    </row>
    <row r="944" spans="9:14">
      <c r="I944" s="2"/>
      <c r="J944" s="2"/>
      <c r="K944" s="2"/>
      <c r="N944" s="2"/>
    </row>
    <row r="945" spans="9:14">
      <c r="I945" s="2"/>
      <c r="J945" s="2"/>
      <c r="K945" s="2"/>
      <c r="N945" s="2"/>
    </row>
    <row r="946" spans="9:14">
      <c r="I946" s="2"/>
      <c r="J946" s="2"/>
      <c r="K946" s="2"/>
      <c r="N946" s="2"/>
    </row>
    <row r="947" spans="9:14">
      <c r="I947" s="2"/>
      <c r="J947" s="2"/>
      <c r="K947" s="2"/>
      <c r="N947" s="2"/>
    </row>
    <row r="948" spans="9:14">
      <c r="I948" s="2"/>
      <c r="J948" s="2"/>
      <c r="K948" s="2"/>
      <c r="N948" s="2"/>
    </row>
    <row r="949" spans="9:14">
      <c r="I949" s="2"/>
      <c r="J949" s="2"/>
      <c r="K949" s="2"/>
      <c r="N949" s="2"/>
    </row>
    <row r="950" spans="9:14">
      <c r="I950" s="2"/>
      <c r="J950" s="2"/>
      <c r="K950" s="2"/>
      <c r="N950" s="2"/>
    </row>
    <row r="951" spans="9:14">
      <c r="I951" s="2"/>
      <c r="J951" s="2"/>
      <c r="K951" s="2"/>
      <c r="N951" s="2"/>
    </row>
    <row r="952" spans="9:14">
      <c r="I952" s="2"/>
      <c r="J952" s="2"/>
      <c r="K952" s="2"/>
      <c r="N952" s="2"/>
    </row>
    <row r="953" spans="9:14">
      <c r="I953" s="2"/>
      <c r="J953" s="2"/>
      <c r="K953" s="2"/>
      <c r="N953" s="2"/>
    </row>
    <row r="954" spans="9:14">
      <c r="I954" s="2"/>
      <c r="J954" s="2"/>
      <c r="K954" s="2"/>
      <c r="N954" s="2"/>
    </row>
    <row r="955" spans="9:14">
      <c r="I955" s="2"/>
      <c r="J955" s="2"/>
      <c r="K955" s="2"/>
      <c r="N955" s="2"/>
    </row>
    <row r="956" spans="9:14">
      <c r="I956" s="2"/>
      <c r="J956" s="2"/>
      <c r="K956" s="2"/>
      <c r="N956" s="2"/>
    </row>
    <row r="957" spans="9:14">
      <c r="I957" s="2"/>
      <c r="J957" s="2"/>
      <c r="K957" s="2"/>
      <c r="N957" s="2"/>
    </row>
    <row r="958" spans="9:14">
      <c r="I958" s="2"/>
      <c r="J958" s="2"/>
      <c r="K958" s="2"/>
      <c r="N958" s="2"/>
    </row>
    <row r="959" spans="9:14">
      <c r="I959" s="2"/>
      <c r="J959" s="2"/>
      <c r="K959" s="2"/>
      <c r="N959" s="2"/>
    </row>
    <row r="960" spans="9:14">
      <c r="I960" s="2"/>
      <c r="J960" s="2"/>
      <c r="K960" s="2"/>
      <c r="N960" s="2"/>
    </row>
    <row r="961" spans="9:14">
      <c r="I961" s="2"/>
      <c r="J961" s="2"/>
      <c r="K961" s="2"/>
      <c r="N961" s="2"/>
    </row>
    <row r="962" spans="9:14">
      <c r="I962" s="2"/>
      <c r="J962" s="2"/>
      <c r="K962" s="2"/>
      <c r="N962" s="2"/>
    </row>
    <row r="963" spans="9:14">
      <c r="I963" s="2"/>
      <c r="J963" s="2"/>
      <c r="K963" s="2"/>
      <c r="N963" s="2"/>
    </row>
    <row r="964" spans="9:14">
      <c r="I964" s="2"/>
      <c r="J964" s="2"/>
      <c r="K964" s="2"/>
      <c r="N964" s="2"/>
    </row>
    <row r="965" spans="9:14">
      <c r="I965" s="2"/>
      <c r="J965" s="2"/>
      <c r="K965" s="2"/>
      <c r="N965" s="2"/>
    </row>
    <row r="966" spans="9:14">
      <c r="I966" s="2"/>
      <c r="J966" s="2"/>
      <c r="K966" s="2"/>
      <c r="N966" s="2"/>
    </row>
    <row r="967" spans="9:14">
      <c r="I967" s="2"/>
      <c r="J967" s="2"/>
      <c r="K967" s="2"/>
      <c r="N967" s="2"/>
    </row>
    <row r="968" spans="9:14">
      <c r="I968" s="2"/>
      <c r="J968" s="2"/>
      <c r="K968" s="2"/>
      <c r="N968" s="2"/>
    </row>
    <row r="969" spans="9:14">
      <c r="I969" s="2"/>
      <c r="J969" s="2"/>
      <c r="K969" s="2"/>
      <c r="N969" s="2"/>
    </row>
    <row r="970" spans="9:14">
      <c r="I970" s="2"/>
      <c r="J970" s="2"/>
      <c r="K970" s="2"/>
      <c r="N970" s="2"/>
    </row>
    <row r="971" spans="9:14">
      <c r="I971" s="2"/>
      <c r="J971" s="2"/>
      <c r="K971" s="2"/>
      <c r="N971" s="2"/>
    </row>
    <row r="972" spans="9:14">
      <c r="I972" s="2"/>
      <c r="J972" s="2"/>
      <c r="K972" s="2"/>
      <c r="N972" s="2"/>
    </row>
    <row r="973" spans="9:14">
      <c r="I973" s="2"/>
      <c r="J973" s="2"/>
      <c r="K973" s="2"/>
      <c r="N973" s="2"/>
    </row>
    <row r="974" spans="9:14">
      <c r="I974" s="2"/>
      <c r="J974" s="2"/>
      <c r="K974" s="2"/>
      <c r="N974" s="2"/>
    </row>
    <row r="975" spans="9:14">
      <c r="I975" s="2"/>
      <c r="J975" s="2"/>
      <c r="K975" s="2"/>
      <c r="N975" s="2"/>
    </row>
    <row r="976" spans="9:14">
      <c r="I976" s="2"/>
      <c r="J976" s="2"/>
      <c r="K976" s="2"/>
      <c r="N976" s="2"/>
    </row>
    <row r="977" spans="9:14">
      <c r="I977" s="2"/>
      <c r="J977" s="2"/>
      <c r="K977" s="2"/>
      <c r="N977" s="2"/>
    </row>
    <row r="978" spans="9:14">
      <c r="I978" s="2"/>
      <c r="J978" s="2"/>
      <c r="K978" s="2"/>
      <c r="N978" s="2"/>
    </row>
    <row r="979" spans="9:14">
      <c r="I979" s="2"/>
      <c r="J979" s="2"/>
      <c r="K979" s="2"/>
      <c r="N979" s="2"/>
    </row>
    <row r="980" spans="9:14">
      <c r="I980" s="2"/>
      <c r="J980" s="2"/>
      <c r="K980" s="2"/>
      <c r="N980" s="2"/>
    </row>
    <row r="981" spans="9:14">
      <c r="I981" s="2"/>
      <c r="J981" s="2"/>
      <c r="K981" s="2"/>
      <c r="N981" s="2"/>
    </row>
    <row r="982" spans="9:14">
      <c r="I982" s="2"/>
      <c r="J982" s="2"/>
      <c r="K982" s="2"/>
      <c r="N982" s="2"/>
    </row>
    <row r="983" spans="9:14">
      <c r="I983" s="2"/>
      <c r="J983" s="2"/>
      <c r="K983" s="2"/>
      <c r="N983" s="2"/>
    </row>
    <row r="984" spans="9:14">
      <c r="I984" s="2"/>
      <c r="J984" s="2"/>
      <c r="K984" s="2"/>
      <c r="N984" s="2"/>
    </row>
    <row r="985" spans="9:14">
      <c r="I985" s="2"/>
      <c r="J985" s="2"/>
      <c r="K985" s="2"/>
      <c r="N985" s="2"/>
    </row>
    <row r="986" spans="9:14">
      <c r="I986" s="2"/>
      <c r="J986" s="2"/>
      <c r="K986" s="2"/>
      <c r="N986" s="2"/>
    </row>
    <row r="987" spans="9:14">
      <c r="I987" s="2"/>
      <c r="J987" s="2"/>
      <c r="K987" s="2"/>
      <c r="N987" s="2"/>
    </row>
    <row r="988" spans="9:14">
      <c r="I988" s="2"/>
      <c r="J988" s="2"/>
      <c r="K988" s="2"/>
      <c r="N988" s="2"/>
    </row>
    <row r="989" spans="9:14">
      <c r="I989" s="2"/>
      <c r="J989" s="2"/>
      <c r="K989" s="2"/>
      <c r="N989" s="2"/>
    </row>
    <row r="990" spans="9:14">
      <c r="I990" s="2"/>
      <c r="J990" s="2"/>
      <c r="K990" s="2"/>
      <c r="N990" s="2"/>
    </row>
    <row r="991" spans="9:14">
      <c r="I991" s="2"/>
      <c r="J991" s="2"/>
      <c r="K991" s="2"/>
      <c r="N991" s="2"/>
    </row>
    <row r="992" spans="9:14">
      <c r="I992" s="2"/>
      <c r="J992" s="2"/>
      <c r="K992" s="2"/>
      <c r="N992" s="2"/>
    </row>
    <row r="993" spans="9:14">
      <c r="I993" s="2"/>
      <c r="J993" s="2"/>
      <c r="K993" s="2"/>
      <c r="N993" s="2"/>
    </row>
    <row r="994" spans="9:14">
      <c r="I994" s="2"/>
      <c r="J994" s="2"/>
      <c r="K994" s="2"/>
      <c r="N994" s="2"/>
    </row>
    <row r="995" spans="9:14">
      <c r="I995" s="2"/>
      <c r="J995" s="2"/>
      <c r="K995" s="2"/>
      <c r="N995" s="2"/>
    </row>
    <row r="996" spans="9:14">
      <c r="I996" s="2"/>
      <c r="J996" s="2"/>
      <c r="K996" s="2"/>
      <c r="N996" s="2"/>
    </row>
    <row r="997" spans="9:14">
      <c r="I997" s="2"/>
      <c r="J997" s="2"/>
      <c r="K997" s="2"/>
      <c r="N997" s="2"/>
    </row>
    <row r="998" spans="9:14">
      <c r="I998" s="2"/>
      <c r="J998" s="2"/>
      <c r="K998" s="2"/>
      <c r="N998" s="2"/>
    </row>
    <row r="999" spans="9:14">
      <c r="I999" s="2"/>
      <c r="J999" s="2"/>
      <c r="K999" s="2"/>
      <c r="N999" s="2"/>
    </row>
    <row r="1000" spans="9:14">
      <c r="I1000" s="2"/>
      <c r="J1000" s="2"/>
      <c r="K1000" s="2"/>
      <c r="N1000" s="2"/>
    </row>
    <row r="1001" spans="9:14">
      <c r="I1001" s="2"/>
      <c r="J1001" s="2"/>
      <c r="K1001" s="2"/>
      <c r="N1001" s="2"/>
    </row>
    <row r="1002" spans="9:14">
      <c r="I1002" s="2"/>
      <c r="J1002" s="2"/>
      <c r="K1002" s="2"/>
      <c r="N1002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25"/>
  <sheetViews>
    <sheetView workbookViewId="0"/>
  </sheetViews>
  <sheetFormatPr defaultColWidth="12.6640625" defaultRowHeight="15.75" customHeight="1"/>
  <cols>
    <col min="2" max="2" width="27.77734375" customWidth="1"/>
  </cols>
  <sheetData>
    <row r="1" spans="1:27">
      <c r="A1" s="1" t="s">
        <v>0</v>
      </c>
      <c r="B1" s="1" t="s">
        <v>1</v>
      </c>
      <c r="I1" s="2"/>
      <c r="J1" s="2"/>
      <c r="K1" s="2"/>
      <c r="N1" s="2"/>
    </row>
    <row r="2" spans="1:27">
      <c r="C2" s="1" t="s">
        <v>2</v>
      </c>
      <c r="D2" s="1" t="s">
        <v>3</v>
      </c>
      <c r="E2" s="1" t="s">
        <v>13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  <c r="O2" s="1" t="s">
        <v>13</v>
      </c>
    </row>
    <row r="3" spans="1:27">
      <c r="B3" s="1" t="s">
        <v>14</v>
      </c>
      <c r="C3" s="1">
        <v>5.4420000000000002</v>
      </c>
      <c r="D3" s="1">
        <v>8.3460000000000001</v>
      </c>
      <c r="E3" s="1">
        <f t="shared" ref="E3:E6" si="0">AVERAGE(C3,D3)</f>
        <v>6.8940000000000001</v>
      </c>
      <c r="F3" s="1">
        <v>0.505</v>
      </c>
      <c r="G3" s="1">
        <v>0.8</v>
      </c>
      <c r="H3" s="1">
        <v>0.81299999999999994</v>
      </c>
      <c r="I3" s="2">
        <v>0.60099999999999998</v>
      </c>
      <c r="J3" s="2">
        <v>0.76</v>
      </c>
      <c r="K3" s="2">
        <v>0.34799999999999998</v>
      </c>
      <c r="L3" s="1">
        <v>0.79600000000000004</v>
      </c>
      <c r="M3" s="1">
        <v>0.69599999999999995</v>
      </c>
      <c r="N3" s="2">
        <v>0.72599999999999998</v>
      </c>
      <c r="O3" s="1">
        <f t="shared" ref="O3:O6" si="1">AVERAGE(F3,G3,H3,L3,M3)</f>
        <v>0.72200000000000009</v>
      </c>
    </row>
    <row r="4" spans="1:27">
      <c r="A4" s="7" t="s">
        <v>38</v>
      </c>
      <c r="B4" s="7" t="s">
        <v>19</v>
      </c>
      <c r="C4" s="1">
        <v>5.91</v>
      </c>
      <c r="D4" s="1">
        <v>9.24</v>
      </c>
      <c r="E4" s="1">
        <f t="shared" si="0"/>
        <v>7.5750000000000002</v>
      </c>
      <c r="F4" s="1">
        <v>0.48799999999999999</v>
      </c>
      <c r="G4" s="1">
        <v>0.78400000000000003</v>
      </c>
      <c r="H4" s="1">
        <v>0.79500000000000004</v>
      </c>
      <c r="I4" s="2">
        <v>0.59099999999999997</v>
      </c>
      <c r="J4" s="2">
        <v>0.747</v>
      </c>
      <c r="K4" s="2">
        <v>0.34599999999999997</v>
      </c>
      <c r="L4" s="1">
        <v>0.79100000000000004</v>
      </c>
      <c r="M4" s="1">
        <v>0.64600000000000002</v>
      </c>
      <c r="N4" s="2">
        <v>0.72699999999999998</v>
      </c>
      <c r="O4" s="1">
        <f t="shared" si="1"/>
        <v>0.70079999999999998</v>
      </c>
    </row>
    <row r="5" spans="1:27">
      <c r="B5" s="1" t="s">
        <v>35</v>
      </c>
      <c r="C5" s="3">
        <v>5.9572000000000003</v>
      </c>
      <c r="D5" s="1">
        <v>9.5846</v>
      </c>
      <c r="E5" s="1">
        <f t="shared" si="0"/>
        <v>7.7709000000000001</v>
      </c>
      <c r="F5" s="1">
        <v>0.4889</v>
      </c>
      <c r="G5" s="1">
        <v>0.79339999999999999</v>
      </c>
      <c r="H5" s="1">
        <v>0.81040000000000001</v>
      </c>
      <c r="I5" s="1">
        <v>0.59499999999999997</v>
      </c>
      <c r="J5" s="1">
        <v>0.73570000000000002</v>
      </c>
      <c r="K5" s="1">
        <v>0.34799999999999998</v>
      </c>
      <c r="L5" s="5">
        <v>0.78400000000000003</v>
      </c>
      <c r="M5" s="1">
        <v>0.628</v>
      </c>
      <c r="N5" s="1">
        <v>0.71109999999999995</v>
      </c>
      <c r="O5" s="1">
        <f t="shared" si="1"/>
        <v>0.7009399999999999</v>
      </c>
    </row>
    <row r="6" spans="1:27">
      <c r="B6" s="1" t="s">
        <v>39</v>
      </c>
      <c r="C6" s="5">
        <v>5.9236000000000004</v>
      </c>
      <c r="D6" s="5">
        <v>9.5280000000000005</v>
      </c>
      <c r="E6" s="5">
        <f t="shared" si="0"/>
        <v>7.7258000000000004</v>
      </c>
      <c r="F6" s="5">
        <v>0.5</v>
      </c>
      <c r="G6" s="5">
        <v>0.79400000000000004</v>
      </c>
      <c r="H6" s="5">
        <v>0.81469999999999998</v>
      </c>
      <c r="I6" s="1">
        <v>0.59540000000000004</v>
      </c>
      <c r="J6" s="1">
        <v>0.73499999999999999</v>
      </c>
      <c r="K6" s="1">
        <v>0.34200000000000003</v>
      </c>
      <c r="L6" s="1">
        <v>0.78180000000000005</v>
      </c>
      <c r="M6" s="5">
        <v>0.66790000000000005</v>
      </c>
      <c r="N6" s="1">
        <v>0.71589999999999998</v>
      </c>
      <c r="O6" s="5">
        <f t="shared" si="1"/>
        <v>0.71167999999999998</v>
      </c>
      <c r="P6" s="1" t="s">
        <v>77</v>
      </c>
    </row>
    <row r="7" spans="1:27">
      <c r="A7" s="82"/>
      <c r="B7" s="83" t="s">
        <v>18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</row>
    <row r="9" spans="1:27">
      <c r="B9" s="1" t="s">
        <v>78</v>
      </c>
      <c r="C9" s="1">
        <v>4.8449999999999998</v>
      </c>
      <c r="D9" s="1">
        <v>7.5350000000000001</v>
      </c>
      <c r="E9" s="1">
        <f t="shared" ref="E9:E12" si="2">AVERAGE(C9,D9)</f>
        <v>6.1899999999999995</v>
      </c>
      <c r="F9" s="1">
        <v>0.50900000000000001</v>
      </c>
      <c r="G9" s="1">
        <v>0.80200000000000005</v>
      </c>
      <c r="H9" s="1">
        <v>0.83699999999999997</v>
      </c>
      <c r="I9" s="2">
        <v>0.61099999999999999</v>
      </c>
      <c r="J9" s="2">
        <v>0.753</v>
      </c>
      <c r="K9" s="2">
        <v>0.35199999999999998</v>
      </c>
      <c r="L9" s="1">
        <v>0.8</v>
      </c>
      <c r="M9" s="1">
        <v>0.68600000000000005</v>
      </c>
      <c r="N9" s="2">
        <v>0.74299999999999999</v>
      </c>
      <c r="O9" s="1">
        <f t="shared" ref="O9:O11" si="3">AVERAGE(F9,G9,H9,L9,M9)</f>
        <v>0.72679999999999989</v>
      </c>
    </row>
    <row r="10" spans="1:27">
      <c r="A10" s="1" t="s">
        <v>15</v>
      </c>
      <c r="B10" s="1" t="s">
        <v>16</v>
      </c>
      <c r="C10" s="3">
        <v>4.9916999999999998</v>
      </c>
      <c r="D10" s="3">
        <v>7.8047000000000004</v>
      </c>
      <c r="E10" s="1">
        <f t="shared" si="2"/>
        <v>6.3982000000000001</v>
      </c>
      <c r="F10" s="1">
        <v>0.49320000000000003</v>
      </c>
      <c r="G10" s="1">
        <v>0.79379999999999995</v>
      </c>
      <c r="H10" s="5">
        <v>0.83760000000000001</v>
      </c>
      <c r="I10" s="1">
        <v>0.60750000000000004</v>
      </c>
      <c r="J10" s="1">
        <v>0.73719999999999997</v>
      </c>
      <c r="K10" s="1">
        <v>0.35199999999999998</v>
      </c>
      <c r="L10" s="1">
        <v>0.80089999999999995</v>
      </c>
      <c r="M10" s="5">
        <v>0.68230000000000002</v>
      </c>
      <c r="N10" s="1">
        <v>0.73319999999999996</v>
      </c>
      <c r="O10" s="1">
        <f t="shared" si="3"/>
        <v>0.72155999999999998</v>
      </c>
    </row>
    <row r="11" spans="1:27">
      <c r="A11" s="84"/>
      <c r="B11" s="84" t="s">
        <v>57</v>
      </c>
      <c r="C11" s="85">
        <v>4.9695999999999998</v>
      </c>
      <c r="D11" s="85">
        <v>7.7840999999999996</v>
      </c>
      <c r="E11" s="1">
        <f t="shared" si="2"/>
        <v>6.3768499999999992</v>
      </c>
      <c r="F11" s="86">
        <v>0.49830000000000002</v>
      </c>
      <c r="G11" s="86">
        <v>0.79420000000000002</v>
      </c>
      <c r="H11" s="84">
        <v>0.83240000000000003</v>
      </c>
      <c r="I11" s="84">
        <v>0.60699999999999998</v>
      </c>
      <c r="J11" s="84">
        <v>0.74019999999999997</v>
      </c>
      <c r="K11" s="84">
        <v>0.35</v>
      </c>
      <c r="L11" s="86">
        <v>0.8014</v>
      </c>
      <c r="M11" s="86">
        <v>0.68230000000000002</v>
      </c>
      <c r="N11" s="84">
        <v>0.73560000000000003</v>
      </c>
      <c r="O11" s="86">
        <f t="shared" si="3"/>
        <v>0.72172000000000014</v>
      </c>
      <c r="P11" s="84" t="s">
        <v>83</v>
      </c>
      <c r="Q11" s="84" t="s">
        <v>79</v>
      </c>
      <c r="R11" s="84"/>
      <c r="S11" s="84"/>
      <c r="T11" s="84"/>
      <c r="U11" s="84"/>
      <c r="V11" s="84"/>
      <c r="W11" s="84"/>
      <c r="X11" s="84"/>
      <c r="Y11" s="84"/>
      <c r="Z11" s="84"/>
      <c r="AA11" s="84"/>
    </row>
    <row r="12" spans="1:27">
      <c r="B12" s="1" t="s">
        <v>17</v>
      </c>
      <c r="C12" s="4">
        <v>4.9703999999999997</v>
      </c>
      <c r="D12" s="4">
        <v>7.7167000000000003</v>
      </c>
      <c r="E12" s="5">
        <f t="shared" si="2"/>
        <v>6.3435500000000005</v>
      </c>
      <c r="F12" s="1">
        <v>0.48039999999999999</v>
      </c>
      <c r="G12" s="5">
        <v>0.79339999999999999</v>
      </c>
      <c r="H12" s="1">
        <v>0.82020000000000004</v>
      </c>
      <c r="I12" s="1"/>
      <c r="J12" s="1"/>
      <c r="K12" s="1"/>
      <c r="L12" s="5">
        <v>0.8014</v>
      </c>
      <c r="M12" s="5">
        <v>0.67510000000000003</v>
      </c>
      <c r="N12" s="1"/>
      <c r="O12" s="5"/>
      <c r="P12" s="1"/>
      <c r="Q12" s="1"/>
    </row>
    <row r="13" spans="1:27">
      <c r="B13" s="21" t="s">
        <v>18</v>
      </c>
    </row>
    <row r="15" spans="1:27">
      <c r="B15" s="1" t="s">
        <v>78</v>
      </c>
      <c r="C15" s="1">
        <v>5.5220000000000002</v>
      </c>
      <c r="D15" s="1">
        <v>8.4090000000000007</v>
      </c>
      <c r="E15" s="1">
        <f t="shared" ref="E15:E19" si="4">AVERAGE(C15,D15)</f>
        <v>6.9655000000000005</v>
      </c>
      <c r="F15" s="1">
        <v>0.52200000000000002</v>
      </c>
      <c r="G15" s="1">
        <v>0.82199999999999995</v>
      </c>
      <c r="H15" s="1">
        <v>0.83</v>
      </c>
      <c r="I15" s="2">
        <v>0.60699999999999998</v>
      </c>
      <c r="J15" s="2">
        <v>0.751</v>
      </c>
      <c r="K15" s="2">
        <v>0.34</v>
      </c>
      <c r="L15" s="1">
        <v>0.79100000000000004</v>
      </c>
      <c r="M15" s="1">
        <v>0.71099999999999997</v>
      </c>
      <c r="N15" s="2">
        <v>0.746</v>
      </c>
      <c r="O15" s="1">
        <f>AVERAGE(F15,G15,H15,L15,M15)</f>
        <v>0.73519999999999996</v>
      </c>
    </row>
    <row r="16" spans="1:27">
      <c r="A16" s="7" t="s">
        <v>27</v>
      </c>
      <c r="B16" s="1" t="s">
        <v>16</v>
      </c>
      <c r="C16" s="3">
        <v>6.0247999999999999</v>
      </c>
      <c r="D16" s="3">
        <v>9.4397000000000002</v>
      </c>
      <c r="E16" s="1">
        <f t="shared" si="4"/>
        <v>7.7322500000000005</v>
      </c>
      <c r="F16" s="1">
        <v>0.48975999999999997</v>
      </c>
      <c r="G16" s="1">
        <v>0.80640000000000001</v>
      </c>
      <c r="H16" s="1">
        <v>0.81896000000000002</v>
      </c>
      <c r="L16" s="1">
        <v>0.78346000000000005</v>
      </c>
      <c r="M16" s="1">
        <v>0.67508999999999997</v>
      </c>
      <c r="O16" s="1">
        <v>0.71472999999999998</v>
      </c>
    </row>
    <row r="17" spans="1:27">
      <c r="A17" s="64"/>
      <c r="B17" s="64" t="s">
        <v>57</v>
      </c>
      <c r="C17" s="67">
        <v>5.9663000000000004</v>
      </c>
      <c r="D17" s="67">
        <v>9.3632000000000009</v>
      </c>
      <c r="E17" s="64">
        <f t="shared" si="4"/>
        <v>7.6647500000000006</v>
      </c>
      <c r="F17" s="64">
        <v>0.5</v>
      </c>
      <c r="G17" s="64">
        <v>0.80681999999999998</v>
      </c>
      <c r="H17" s="64">
        <v>0.81315000000000004</v>
      </c>
      <c r="I17" s="64"/>
      <c r="J17" s="64"/>
      <c r="K17" s="64"/>
      <c r="L17" s="64">
        <v>0.78671999999999997</v>
      </c>
      <c r="M17" s="64">
        <v>0.68230999999999997</v>
      </c>
      <c r="N17" s="64"/>
      <c r="O17" s="64">
        <v>0.71779999999999999</v>
      </c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</row>
    <row r="18" spans="1:27">
      <c r="A18" s="84"/>
      <c r="B18" s="84" t="s">
        <v>28</v>
      </c>
      <c r="C18" s="86">
        <v>5.9726999999999997</v>
      </c>
      <c r="D18" s="86">
        <v>9.3691999999999993</v>
      </c>
      <c r="E18" s="86">
        <f t="shared" si="4"/>
        <v>7.6709499999999995</v>
      </c>
      <c r="F18" s="86">
        <v>0.50512000000000001</v>
      </c>
      <c r="G18" s="86">
        <v>0.80681999999999998</v>
      </c>
      <c r="H18" s="84">
        <v>0.81284000000000001</v>
      </c>
      <c r="I18" s="84"/>
      <c r="J18" s="84"/>
      <c r="K18" s="84"/>
      <c r="L18" s="86">
        <v>0.78671999999999997</v>
      </c>
      <c r="M18" s="86">
        <v>0.69313999999999998</v>
      </c>
      <c r="N18" s="84"/>
      <c r="O18" s="86">
        <f t="shared" ref="O18:O19" si="5">AVERAGE(F18,G18,H18,L18,M18)</f>
        <v>0.72092800000000001</v>
      </c>
      <c r="P18" s="84" t="s">
        <v>77</v>
      </c>
      <c r="Q18" s="84" t="s">
        <v>80</v>
      </c>
      <c r="R18" s="84"/>
      <c r="S18" s="84"/>
      <c r="T18" s="84"/>
      <c r="U18" s="84"/>
      <c r="V18" s="84"/>
      <c r="W18" s="84"/>
      <c r="X18" s="84"/>
      <c r="Y18" s="84"/>
      <c r="Z18" s="84"/>
      <c r="AA18" s="84"/>
    </row>
    <row r="19" spans="1:27">
      <c r="B19" s="6" t="s">
        <v>18</v>
      </c>
      <c r="C19" s="1">
        <v>6.0815000000000001</v>
      </c>
      <c r="D19" s="1">
        <v>9.6308000000000007</v>
      </c>
      <c r="E19" s="1">
        <f t="shared" si="4"/>
        <v>7.8561500000000004</v>
      </c>
      <c r="F19" s="1">
        <v>0.487201</v>
      </c>
      <c r="G19" s="1">
        <v>0.80089999999999995</v>
      </c>
      <c r="H19" s="5">
        <v>0.82750000000000001</v>
      </c>
      <c r="L19" s="1">
        <v>0.78449999999999998</v>
      </c>
      <c r="M19" s="1">
        <v>0.67149999999999999</v>
      </c>
      <c r="O19" s="5">
        <f t="shared" si="5"/>
        <v>0.71432019999999996</v>
      </c>
      <c r="Q19" s="1" t="s">
        <v>81</v>
      </c>
    </row>
    <row r="21" spans="1:27">
      <c r="B21" s="1" t="s">
        <v>78</v>
      </c>
      <c r="C21" s="1">
        <v>6.0838999999999999</v>
      </c>
      <c r="D21" s="1">
        <v>10.816599999999999</v>
      </c>
      <c r="E21" s="1">
        <f t="shared" ref="E21:E25" si="6">AVERAGE(C21,D21)</f>
        <v>8.4502500000000005</v>
      </c>
      <c r="F21" s="1">
        <v>0.47699999999999998</v>
      </c>
      <c r="G21" s="1">
        <v>0.80400000000000005</v>
      </c>
      <c r="H21" s="1">
        <v>0.84599999999999997</v>
      </c>
      <c r="I21" s="2">
        <v>0.6</v>
      </c>
      <c r="J21" s="2">
        <v>0.71899999999999997</v>
      </c>
      <c r="K21" s="2">
        <v>0.33200000000000002</v>
      </c>
      <c r="L21" s="1">
        <v>0.78700000000000003</v>
      </c>
      <c r="M21" s="1">
        <v>0.81499999999999995</v>
      </c>
      <c r="N21" s="2">
        <v>0.73</v>
      </c>
      <c r="O21" s="1">
        <f>AVERAGE(F21,G21,H21,L21,M21)</f>
        <v>0.74580000000000002</v>
      </c>
    </row>
    <row r="22" spans="1:27">
      <c r="A22" s="7" t="s">
        <v>33</v>
      </c>
      <c r="B22" s="1" t="s">
        <v>16</v>
      </c>
      <c r="C22" s="3">
        <v>6.3893000000000004</v>
      </c>
      <c r="D22" s="3">
        <v>11.296099999999999</v>
      </c>
      <c r="E22" s="1">
        <f t="shared" si="6"/>
        <v>8.8427000000000007</v>
      </c>
      <c r="F22" s="1">
        <v>0.47423999999999999</v>
      </c>
      <c r="G22" s="5">
        <v>0.80386999999999997</v>
      </c>
      <c r="H22" s="1">
        <v>0.83547000000000005</v>
      </c>
      <c r="L22" s="5">
        <v>0.78671999999999997</v>
      </c>
      <c r="M22" s="1">
        <v>0.81227000000000005</v>
      </c>
      <c r="O22" s="1">
        <v>0.74272000000000005</v>
      </c>
    </row>
    <row r="23" spans="1:27">
      <c r="A23" s="64"/>
      <c r="B23" s="64" t="s">
        <v>57</v>
      </c>
      <c r="C23" s="67">
        <v>6.3445999999999998</v>
      </c>
      <c r="D23" s="67">
        <v>11.1867</v>
      </c>
      <c r="E23" s="64">
        <f t="shared" si="6"/>
        <v>8.7656500000000008</v>
      </c>
      <c r="F23" s="66">
        <v>0.47526000000000002</v>
      </c>
      <c r="G23" s="64">
        <v>0.79251000000000005</v>
      </c>
      <c r="H23" s="66">
        <v>0.83731</v>
      </c>
      <c r="I23" s="64"/>
      <c r="J23" s="64"/>
      <c r="K23" s="64"/>
      <c r="L23" s="64">
        <v>0.78459999999999996</v>
      </c>
      <c r="M23" s="64">
        <v>0.82670999999999994</v>
      </c>
      <c r="N23" s="64"/>
      <c r="O23" s="66">
        <f t="shared" ref="O23:O25" si="7">AVERAGE(F23,G23,H23,L23,M23)</f>
        <v>0.74327799999999999</v>
      </c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</row>
    <row r="24" spans="1:27">
      <c r="B24" s="1" t="s">
        <v>34</v>
      </c>
      <c r="C24" s="5">
        <v>6.3422999999999998</v>
      </c>
      <c r="D24" s="5">
        <v>11.187099999999999</v>
      </c>
      <c r="E24" s="5">
        <f t="shared" si="6"/>
        <v>8.7646999999999995</v>
      </c>
      <c r="F24" s="5">
        <v>0.47526000000000002</v>
      </c>
      <c r="G24" s="1">
        <v>0.79669999999999996</v>
      </c>
      <c r="H24" s="5">
        <v>0.83789999999999998</v>
      </c>
      <c r="L24" s="1">
        <v>0.78510000000000002</v>
      </c>
      <c r="M24" s="5">
        <v>0.82669999999999999</v>
      </c>
      <c r="O24" s="1">
        <f t="shared" si="7"/>
        <v>0.74433199999999999</v>
      </c>
      <c r="Q24" s="1" t="s">
        <v>81</v>
      </c>
    </row>
    <row r="25" spans="1:27">
      <c r="B25" s="6" t="s">
        <v>18</v>
      </c>
      <c r="C25" s="1">
        <v>6.3404999999999996</v>
      </c>
      <c r="D25" s="1">
        <v>11.200799999999999</v>
      </c>
      <c r="E25" s="1">
        <f t="shared" si="6"/>
        <v>8.7706499999999998</v>
      </c>
      <c r="F25" s="1">
        <v>0.46501999999999999</v>
      </c>
      <c r="G25" s="1">
        <v>0.79376999999999998</v>
      </c>
      <c r="H25" s="1">
        <v>0.83211000000000002</v>
      </c>
      <c r="L25" s="1">
        <v>0.78400000000000003</v>
      </c>
      <c r="M25" s="1">
        <v>0.83394000000000001</v>
      </c>
      <c r="O25" s="1">
        <f t="shared" si="7"/>
        <v>0.74176800000000009</v>
      </c>
      <c r="Q25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O24"/>
  <sheetViews>
    <sheetView workbookViewId="0"/>
  </sheetViews>
  <sheetFormatPr defaultColWidth="12.6640625" defaultRowHeight="15.75" customHeight="1"/>
  <cols>
    <col min="2" max="2" width="24.77734375" customWidth="1"/>
  </cols>
  <sheetData>
    <row r="1" spans="1:15">
      <c r="A1" s="1" t="s">
        <v>0</v>
      </c>
      <c r="B1" s="1" t="s">
        <v>1</v>
      </c>
      <c r="I1" s="2"/>
      <c r="J1" s="2"/>
      <c r="K1" s="2"/>
      <c r="N1" s="2"/>
    </row>
    <row r="2" spans="1:15">
      <c r="C2" s="1" t="s">
        <v>2</v>
      </c>
      <c r="D2" s="1" t="s">
        <v>3</v>
      </c>
      <c r="F2" s="1" t="s">
        <v>4</v>
      </c>
      <c r="G2" s="1" t="s">
        <v>5</v>
      </c>
      <c r="H2" s="1" t="s">
        <v>6</v>
      </c>
      <c r="I2" s="2" t="s">
        <v>7</v>
      </c>
      <c r="J2" s="2" t="s">
        <v>8</v>
      </c>
      <c r="K2" s="2" t="s">
        <v>9</v>
      </c>
      <c r="L2" s="1" t="s">
        <v>10</v>
      </c>
      <c r="M2" s="1" t="s">
        <v>11</v>
      </c>
      <c r="N2" s="2" t="s">
        <v>12</v>
      </c>
    </row>
    <row r="3" spans="1:15">
      <c r="B3" s="1" t="s">
        <v>61</v>
      </c>
      <c r="C3" s="1">
        <v>4.8449999999999998</v>
      </c>
      <c r="D3" s="1">
        <v>7.5350000000000001</v>
      </c>
      <c r="F3" s="1">
        <v>0.50900000000000001</v>
      </c>
      <c r="G3" s="1">
        <v>0.80200000000000005</v>
      </c>
      <c r="H3" s="1">
        <v>0.83699999999999997</v>
      </c>
      <c r="I3" s="2">
        <v>0.61099999999999999</v>
      </c>
      <c r="J3" s="2">
        <v>0.753</v>
      </c>
      <c r="K3" s="2">
        <v>0.35199999999999998</v>
      </c>
      <c r="L3" s="1">
        <v>0.8</v>
      </c>
      <c r="M3" s="1">
        <v>0.68600000000000005</v>
      </c>
      <c r="N3" s="2">
        <v>0.74299999999999999</v>
      </c>
      <c r="O3" s="1">
        <f t="shared" ref="O3:O6" si="0">AVERAGE(F3,G3,H3,L3,M3)</f>
        <v>0.72679999999999989</v>
      </c>
    </row>
    <row r="4" spans="1:15">
      <c r="A4" s="1" t="s">
        <v>50</v>
      </c>
      <c r="B4" s="1" t="s">
        <v>187</v>
      </c>
      <c r="C4" s="1">
        <v>5.0011999999999999</v>
      </c>
      <c r="D4" s="1">
        <v>7.8179999999999996</v>
      </c>
      <c r="F4" s="1">
        <v>0.48970000000000002</v>
      </c>
      <c r="G4" s="1">
        <v>0.79200000000000004</v>
      </c>
      <c r="H4" s="1">
        <v>0.83109999999999995</v>
      </c>
      <c r="I4" s="2">
        <v>0.60619999999999996</v>
      </c>
      <c r="J4" s="2">
        <v>0.73760000000000003</v>
      </c>
      <c r="K4" s="2">
        <v>0.35599999999999998</v>
      </c>
      <c r="L4" s="5">
        <v>0.80149999999999999</v>
      </c>
      <c r="M4" s="5">
        <v>0.66500000000000004</v>
      </c>
      <c r="N4" s="8">
        <v>0.74109999999999998</v>
      </c>
      <c r="O4" s="1">
        <f t="shared" si="0"/>
        <v>0.71585999999999994</v>
      </c>
    </row>
    <row r="5" spans="1:15">
      <c r="B5" s="1" t="s">
        <v>188</v>
      </c>
      <c r="C5" s="1">
        <v>5.0034000000000001</v>
      </c>
      <c r="D5" s="1">
        <v>7.8194999999999997</v>
      </c>
      <c r="F5" s="1">
        <v>0.4914</v>
      </c>
      <c r="G5" s="1">
        <v>0.79249999999999998</v>
      </c>
      <c r="H5" s="1">
        <v>0.83109999999999995</v>
      </c>
      <c r="I5" s="2">
        <v>0.60470000000000002</v>
      </c>
      <c r="J5" s="2">
        <v>0.73950000000000005</v>
      </c>
      <c r="K5" s="8">
        <v>0.36</v>
      </c>
      <c r="L5" s="1">
        <v>0.79700000000000004</v>
      </c>
      <c r="M5" s="1">
        <v>0.66420000000000001</v>
      </c>
      <c r="N5" s="2">
        <v>0.73950000000000005</v>
      </c>
      <c r="O5" s="1">
        <f t="shared" si="0"/>
        <v>0.7152400000000001</v>
      </c>
    </row>
    <row r="6" spans="1:15">
      <c r="B6" s="1" t="s">
        <v>189</v>
      </c>
      <c r="C6" s="5">
        <v>4.9922000000000004</v>
      </c>
      <c r="D6" s="5">
        <v>7.8064999999999998</v>
      </c>
      <c r="F6" s="5">
        <v>0.49309999999999998</v>
      </c>
      <c r="G6" s="5">
        <v>0.79249999999999998</v>
      </c>
      <c r="H6" s="5">
        <v>0.83360000000000001</v>
      </c>
      <c r="I6" s="8">
        <v>0.60780000000000001</v>
      </c>
      <c r="J6" s="8">
        <v>0.73970000000000002</v>
      </c>
      <c r="K6" s="2">
        <v>0.35</v>
      </c>
      <c r="L6" s="1">
        <v>0.80030000000000001</v>
      </c>
      <c r="M6" s="1">
        <v>0.66420000000000001</v>
      </c>
      <c r="N6" s="2">
        <v>0.73399999999999999</v>
      </c>
      <c r="O6" s="5">
        <f t="shared" si="0"/>
        <v>0.71674000000000004</v>
      </c>
    </row>
    <row r="7" spans="1:15">
      <c r="I7" s="2"/>
      <c r="J7" s="2"/>
      <c r="K7" s="2"/>
      <c r="N7" s="2"/>
    </row>
    <row r="8" spans="1:15">
      <c r="I8" s="2"/>
      <c r="J8" s="2"/>
      <c r="K8" s="2"/>
      <c r="N8" s="2"/>
    </row>
    <row r="9" spans="1:15">
      <c r="A9" s="1" t="s">
        <v>190</v>
      </c>
      <c r="B9" s="1" t="s">
        <v>61</v>
      </c>
      <c r="C9" s="1">
        <v>5.4420000000000002</v>
      </c>
      <c r="D9" s="1">
        <v>8.3460000000000001</v>
      </c>
      <c r="F9" s="1">
        <v>0.505</v>
      </c>
      <c r="G9" s="1">
        <v>0.8</v>
      </c>
      <c r="H9" s="1">
        <v>0.81299999999999994</v>
      </c>
      <c r="I9" s="2">
        <v>0.60099999999999998</v>
      </c>
      <c r="J9" s="2">
        <v>0.76</v>
      </c>
      <c r="K9" s="2">
        <v>0.34799999999999998</v>
      </c>
      <c r="L9" s="1">
        <v>0.79600000000000004</v>
      </c>
      <c r="M9" s="1">
        <v>0.69599999999999995</v>
      </c>
      <c r="N9" s="2">
        <v>0.72599999999999998</v>
      </c>
      <c r="O9" s="1">
        <f t="shared" ref="O9:O12" si="1">AVERAGE(F9,G9,H9,L9,M9)</f>
        <v>0.72200000000000009</v>
      </c>
    </row>
    <row r="10" spans="1:15">
      <c r="B10" s="1" t="s">
        <v>187</v>
      </c>
      <c r="C10" s="1">
        <v>5.9802</v>
      </c>
      <c r="D10" s="1">
        <v>9.6266999999999996</v>
      </c>
      <c r="F10" s="1">
        <v>0.49740000000000001</v>
      </c>
      <c r="G10" s="1">
        <v>0.78990000000000005</v>
      </c>
      <c r="H10" s="1">
        <v>0.78500000000000003</v>
      </c>
      <c r="I10" s="2">
        <v>0.59370000000000001</v>
      </c>
      <c r="J10" s="2">
        <v>0.7147</v>
      </c>
      <c r="K10" s="8">
        <v>0.35799999999999998</v>
      </c>
      <c r="L10" s="1">
        <v>0.78610000000000002</v>
      </c>
      <c r="M10" s="1">
        <v>0.62090000000000001</v>
      </c>
      <c r="N10" s="2">
        <v>0.72209999999999996</v>
      </c>
      <c r="O10" s="1">
        <f t="shared" si="1"/>
        <v>0.69586000000000003</v>
      </c>
    </row>
    <row r="11" spans="1:15">
      <c r="B11" s="1" t="s">
        <v>188</v>
      </c>
      <c r="C11" s="1">
        <v>5.9843000000000002</v>
      </c>
      <c r="D11" s="1">
        <v>9.6308000000000007</v>
      </c>
      <c r="F11" s="1">
        <v>0.50080000000000002</v>
      </c>
      <c r="G11" s="1">
        <v>0.79200000000000004</v>
      </c>
      <c r="H11" s="1">
        <v>0.78859999999999997</v>
      </c>
      <c r="I11" s="2">
        <v>0.59360000000000002</v>
      </c>
      <c r="J11" s="2">
        <v>0.71679999999999999</v>
      </c>
      <c r="K11" s="2">
        <v>0.35</v>
      </c>
      <c r="L11" s="5">
        <v>0.78669999999999995</v>
      </c>
      <c r="M11" s="1">
        <v>0.62450000000000006</v>
      </c>
      <c r="N11" s="8">
        <v>0.72840000000000005</v>
      </c>
      <c r="O11" s="1">
        <f t="shared" si="1"/>
        <v>0.69852000000000003</v>
      </c>
    </row>
    <row r="12" spans="1:15">
      <c r="B12" s="1" t="s">
        <v>189</v>
      </c>
      <c r="C12" s="5">
        <v>5.9381000000000004</v>
      </c>
      <c r="D12" s="5">
        <v>9.5424000000000007</v>
      </c>
      <c r="F12" s="5">
        <v>0.50339999999999996</v>
      </c>
      <c r="G12" s="5">
        <v>0.79369999999999996</v>
      </c>
      <c r="H12" s="5">
        <v>0.79379999999999995</v>
      </c>
      <c r="I12" s="5">
        <v>0.5948</v>
      </c>
      <c r="J12" s="5">
        <v>0.72209999999999996</v>
      </c>
      <c r="K12" s="1">
        <v>0.34599999999999997</v>
      </c>
      <c r="L12" s="1">
        <v>0.78610000000000002</v>
      </c>
      <c r="M12" s="5">
        <v>0.63170000000000004</v>
      </c>
      <c r="N12" s="5">
        <v>0.72840000000000005</v>
      </c>
      <c r="O12" s="5">
        <f t="shared" si="1"/>
        <v>0.70173999999999992</v>
      </c>
    </row>
    <row r="14" spans="1:15">
      <c r="A14" s="1" t="s">
        <v>191</v>
      </c>
      <c r="E14" s="1" t="s">
        <v>192</v>
      </c>
      <c r="I14" s="2"/>
      <c r="J14" s="2"/>
      <c r="K14" s="2"/>
      <c r="N14" s="2"/>
    </row>
    <row r="15" spans="1:15">
      <c r="A15" s="1" t="s">
        <v>50</v>
      </c>
      <c r="B15" s="1" t="s">
        <v>61</v>
      </c>
      <c r="C15" s="1">
        <v>4.8449999999999998</v>
      </c>
      <c r="D15" s="1">
        <v>7.5350000000000001</v>
      </c>
      <c r="E15" s="1">
        <v>0.72679999999999989</v>
      </c>
      <c r="F15" s="1">
        <v>0.50900000000000001</v>
      </c>
      <c r="G15" s="1">
        <v>0.80200000000000005</v>
      </c>
      <c r="H15" s="1">
        <v>0.83699999999999997</v>
      </c>
      <c r="I15" s="2"/>
      <c r="J15" s="2"/>
      <c r="K15" s="2"/>
      <c r="L15" s="1">
        <v>0.8</v>
      </c>
      <c r="M15" s="1">
        <v>0.68600000000000005</v>
      </c>
      <c r="N15" s="2"/>
      <c r="O15" s="1">
        <f t="shared" ref="O15:O18" si="2">AVERAGE(F15,G15,H15,L15,M15)</f>
        <v>0.72679999999999989</v>
      </c>
    </row>
    <row r="16" spans="1:15">
      <c r="B16" s="1" t="s">
        <v>187</v>
      </c>
      <c r="C16" s="1">
        <v>5.7415000000000003</v>
      </c>
      <c r="D16" s="1">
        <v>8.9100999999999999</v>
      </c>
      <c r="E16" s="1">
        <v>0.67932000000000003</v>
      </c>
      <c r="F16" s="1">
        <v>0.42830000000000001</v>
      </c>
      <c r="G16" s="1">
        <v>0.75339999999999996</v>
      </c>
      <c r="H16" s="1">
        <v>0.76700000000000002</v>
      </c>
      <c r="I16" s="2"/>
      <c r="J16" s="2"/>
      <c r="K16" s="2"/>
      <c r="L16" s="1">
        <v>0.77639999999999998</v>
      </c>
      <c r="M16" s="5">
        <v>0.67149999999999999</v>
      </c>
      <c r="N16" s="8"/>
      <c r="O16" s="1">
        <f t="shared" si="2"/>
        <v>0.67932000000000003</v>
      </c>
    </row>
    <row r="17" spans="1:15">
      <c r="B17" s="1" t="s">
        <v>188</v>
      </c>
      <c r="C17" s="1">
        <v>5.7619999999999996</v>
      </c>
      <c r="D17" s="1">
        <v>8.9466999999999999</v>
      </c>
      <c r="E17" s="1">
        <v>0.67637999999999998</v>
      </c>
      <c r="F17" s="1">
        <v>0.4224</v>
      </c>
      <c r="G17" s="1">
        <v>0.74450000000000005</v>
      </c>
      <c r="H17" s="1">
        <v>0.78810000000000002</v>
      </c>
      <c r="I17" s="2"/>
      <c r="J17" s="2"/>
      <c r="K17" s="8"/>
      <c r="L17" s="1">
        <v>0.78069999999999995</v>
      </c>
      <c r="M17" s="1">
        <v>0.6462</v>
      </c>
      <c r="N17" s="2"/>
      <c r="O17" s="1">
        <f t="shared" si="2"/>
        <v>0.67637999999999998</v>
      </c>
    </row>
    <row r="18" spans="1:15">
      <c r="B18" s="1" t="s">
        <v>193</v>
      </c>
      <c r="C18" s="5">
        <v>5.5625</v>
      </c>
      <c r="D18" s="5">
        <v>8.6730999999999998</v>
      </c>
      <c r="E18" s="1">
        <v>0.68991999999999998</v>
      </c>
      <c r="F18" s="5">
        <v>0.4556</v>
      </c>
      <c r="G18" s="5">
        <v>0.76259999999999994</v>
      </c>
      <c r="H18" s="5">
        <v>0.77459999999999996</v>
      </c>
      <c r="I18" s="8"/>
      <c r="J18" s="8"/>
      <c r="K18" s="2"/>
      <c r="L18" s="1">
        <v>0.78890000000000005</v>
      </c>
      <c r="M18" s="1">
        <v>0.66790000000000005</v>
      </c>
      <c r="N18" s="2"/>
      <c r="O18" s="1">
        <f t="shared" si="2"/>
        <v>0.68991999999999998</v>
      </c>
    </row>
    <row r="19" spans="1:15">
      <c r="I19" s="2"/>
      <c r="J19" s="2"/>
      <c r="K19" s="2"/>
      <c r="N19" s="2"/>
    </row>
    <row r="20" spans="1:15">
      <c r="I20" s="2"/>
      <c r="J20" s="2"/>
      <c r="K20" s="2"/>
      <c r="N20" s="2"/>
    </row>
    <row r="21" spans="1:15">
      <c r="A21" s="1" t="s">
        <v>190</v>
      </c>
      <c r="B21" s="1" t="s">
        <v>61</v>
      </c>
      <c r="C21" s="1">
        <v>5.4420000000000002</v>
      </c>
      <c r="D21" s="1">
        <v>8.3460000000000001</v>
      </c>
      <c r="E21" s="1">
        <v>0.72200000000000009</v>
      </c>
      <c r="F21" s="1">
        <v>0.505</v>
      </c>
      <c r="G21" s="1">
        <v>0.8</v>
      </c>
      <c r="H21" s="1">
        <v>0.81299999999999994</v>
      </c>
      <c r="I21" s="2"/>
      <c r="J21" s="2"/>
      <c r="K21" s="2"/>
      <c r="L21" s="1">
        <v>0.79600000000000004</v>
      </c>
      <c r="M21" s="1">
        <v>0.69599999999999995</v>
      </c>
      <c r="N21" s="2"/>
      <c r="O21" s="1">
        <f t="shared" ref="O21:O24" si="3">AVERAGE(F21,G21,H21,L21,M21)</f>
        <v>0.72200000000000009</v>
      </c>
    </row>
    <row r="22" spans="1:15">
      <c r="B22" s="1" t="s">
        <v>187</v>
      </c>
      <c r="C22" s="1">
        <v>10.4528</v>
      </c>
      <c r="D22" s="1">
        <v>17.367599999999999</v>
      </c>
      <c r="E22" s="1">
        <v>0.63150000000000006</v>
      </c>
      <c r="F22" s="1">
        <v>0.4113</v>
      </c>
      <c r="G22" s="1">
        <v>0.71799999999999997</v>
      </c>
      <c r="H22" s="1">
        <v>0.72570000000000001</v>
      </c>
      <c r="I22" s="2"/>
      <c r="J22" s="2"/>
      <c r="K22" s="8"/>
      <c r="L22" s="1">
        <v>0.74650000000000005</v>
      </c>
      <c r="M22" s="1">
        <v>0.55600000000000005</v>
      </c>
      <c r="N22" s="2"/>
      <c r="O22" s="1">
        <f t="shared" si="3"/>
        <v>0.63150000000000006</v>
      </c>
    </row>
    <row r="23" spans="1:15">
      <c r="B23" s="1" t="s">
        <v>188</v>
      </c>
      <c r="C23" s="1">
        <v>10.6225</v>
      </c>
      <c r="D23" s="1">
        <v>17.656199999999998</v>
      </c>
      <c r="E23" s="1">
        <v>0.63020000000000009</v>
      </c>
      <c r="F23" s="1">
        <v>0.40870000000000001</v>
      </c>
      <c r="G23" s="1">
        <v>0.72009999999999996</v>
      </c>
      <c r="H23" s="1">
        <v>0.71560000000000001</v>
      </c>
      <c r="I23" s="2"/>
      <c r="J23" s="2"/>
      <c r="K23" s="2"/>
      <c r="L23" s="5">
        <v>0.747</v>
      </c>
      <c r="M23" s="1">
        <v>0.55959999999999999</v>
      </c>
      <c r="N23" s="8"/>
      <c r="O23" s="1">
        <f t="shared" si="3"/>
        <v>0.63020000000000009</v>
      </c>
    </row>
    <row r="24" spans="1:15">
      <c r="B24" s="1" t="s">
        <v>193</v>
      </c>
      <c r="C24" s="1">
        <v>9.8101000000000003</v>
      </c>
      <c r="D24" s="1">
        <v>15.8705</v>
      </c>
      <c r="E24" s="1">
        <v>0.64581999999999995</v>
      </c>
      <c r="F24" s="5">
        <v>0.41470000000000001</v>
      </c>
      <c r="G24" s="5">
        <v>0.73319999999999996</v>
      </c>
      <c r="H24" s="5">
        <v>0.74560000000000004</v>
      </c>
      <c r="I24" s="5"/>
      <c r="J24" s="5"/>
      <c r="L24" s="5">
        <v>0.75080000000000002</v>
      </c>
      <c r="M24" s="5">
        <v>0.58479999999999999</v>
      </c>
      <c r="N24" s="5"/>
      <c r="O24" s="1">
        <f t="shared" si="3"/>
        <v>0.64581999999999995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N12"/>
  <sheetViews>
    <sheetView workbookViewId="0"/>
  </sheetViews>
  <sheetFormatPr defaultColWidth="12.6640625" defaultRowHeight="15.75" customHeight="1"/>
  <cols>
    <col min="2" max="2" width="24.77734375" customWidth="1"/>
  </cols>
  <sheetData>
    <row r="1" spans="1:14">
      <c r="A1" s="1" t="s">
        <v>0</v>
      </c>
      <c r="B1" s="1" t="s">
        <v>1</v>
      </c>
      <c r="N1" s="2"/>
    </row>
    <row r="2" spans="1:14">
      <c r="A2" s="1" t="s">
        <v>191</v>
      </c>
      <c r="C2" s="1" t="s">
        <v>194</v>
      </c>
      <c r="D2" s="1" t="s">
        <v>195</v>
      </c>
      <c r="F2" s="1" t="s">
        <v>31</v>
      </c>
      <c r="G2" s="1" t="s">
        <v>32</v>
      </c>
      <c r="H2" s="1" t="s">
        <v>6</v>
      </c>
      <c r="I2" s="1" t="s">
        <v>10</v>
      </c>
      <c r="J2" s="1" t="s">
        <v>11</v>
      </c>
      <c r="K2" s="1" t="s">
        <v>192</v>
      </c>
      <c r="N2" s="2"/>
    </row>
    <row r="3" spans="1:14">
      <c r="A3" s="1" t="s">
        <v>50</v>
      </c>
      <c r="B3" s="1" t="s">
        <v>61</v>
      </c>
      <c r="C3" s="1">
        <v>4.8449999999999998</v>
      </c>
      <c r="D3" s="1">
        <v>7.5350000000000001</v>
      </c>
      <c r="F3" s="1">
        <v>0.50900000000000001</v>
      </c>
      <c r="G3" s="1">
        <v>0.80200000000000005</v>
      </c>
      <c r="H3" s="1">
        <v>0.83699999999999997</v>
      </c>
      <c r="I3" s="1">
        <v>0.8</v>
      </c>
      <c r="J3" s="1">
        <v>0.68600000000000005</v>
      </c>
      <c r="K3" s="1">
        <v>0.72679999999999989</v>
      </c>
      <c r="N3" s="2"/>
    </row>
    <row r="4" spans="1:14">
      <c r="B4" s="1" t="s">
        <v>187</v>
      </c>
      <c r="C4" s="1">
        <v>5.7415000000000003</v>
      </c>
      <c r="D4" s="1">
        <v>8.9100999999999999</v>
      </c>
      <c r="F4" s="1">
        <v>0.42830000000000001</v>
      </c>
      <c r="G4" s="1">
        <v>0.75339999999999996</v>
      </c>
      <c r="H4" s="1">
        <v>0.76700000000000002</v>
      </c>
      <c r="I4" s="1">
        <v>0.77639999999999998</v>
      </c>
      <c r="J4" s="5">
        <v>0.67149999999999999</v>
      </c>
      <c r="K4" s="1">
        <v>0.67932000000000003</v>
      </c>
      <c r="N4" s="8"/>
    </row>
    <row r="5" spans="1:14">
      <c r="B5" s="1" t="s">
        <v>188</v>
      </c>
      <c r="C5" s="1">
        <v>5.7619999999999996</v>
      </c>
      <c r="D5" s="1">
        <v>8.9466999999999999</v>
      </c>
      <c r="F5" s="1">
        <v>0.4224</v>
      </c>
      <c r="G5" s="1">
        <v>0.74450000000000005</v>
      </c>
      <c r="H5" s="1">
        <v>0.78810000000000002</v>
      </c>
      <c r="I5" s="1">
        <v>0.78069999999999995</v>
      </c>
      <c r="J5" s="1">
        <v>0.6462</v>
      </c>
      <c r="K5" s="1">
        <v>0.67637999999999998</v>
      </c>
      <c r="N5" s="2"/>
    </row>
    <row r="6" spans="1:14">
      <c r="B6" s="1" t="s">
        <v>193</v>
      </c>
      <c r="C6" s="5">
        <v>5.5625</v>
      </c>
      <c r="D6" s="5">
        <v>8.6730999999999998</v>
      </c>
      <c r="F6" s="5">
        <v>0.4556</v>
      </c>
      <c r="G6" s="5">
        <v>0.76259999999999994</v>
      </c>
      <c r="H6" s="5">
        <v>0.77459999999999996</v>
      </c>
      <c r="I6" s="1">
        <v>0.78890000000000005</v>
      </c>
      <c r="J6" s="1">
        <v>0.66790000000000005</v>
      </c>
      <c r="K6" s="1">
        <v>0.68991999999999998</v>
      </c>
      <c r="N6" s="2"/>
    </row>
    <row r="7" spans="1:14">
      <c r="N7" s="2"/>
    </row>
    <row r="8" spans="1:14">
      <c r="N8" s="2"/>
    </row>
    <row r="9" spans="1:14">
      <c r="A9" s="1" t="s">
        <v>190</v>
      </c>
      <c r="B9" s="1" t="s">
        <v>61</v>
      </c>
      <c r="C9" s="1">
        <v>5.4420000000000002</v>
      </c>
      <c r="D9" s="1">
        <v>8.3460000000000001</v>
      </c>
      <c r="F9" s="1">
        <v>0.505</v>
      </c>
      <c r="G9" s="1">
        <v>0.8</v>
      </c>
      <c r="H9" s="1">
        <v>0.81299999999999994</v>
      </c>
      <c r="I9" s="1">
        <v>0.79600000000000004</v>
      </c>
      <c r="J9" s="1">
        <v>0.69599999999999995</v>
      </c>
      <c r="K9" s="1">
        <v>0.72200000000000009</v>
      </c>
      <c r="N9" s="2"/>
    </row>
    <row r="10" spans="1:14">
      <c r="B10" s="1" t="s">
        <v>187</v>
      </c>
      <c r="C10" s="1">
        <v>10.4528</v>
      </c>
      <c r="D10" s="1">
        <v>17.367599999999999</v>
      </c>
      <c r="F10" s="1">
        <v>0.4113</v>
      </c>
      <c r="G10" s="1">
        <v>0.71799999999999997</v>
      </c>
      <c r="H10" s="1">
        <v>0.72570000000000001</v>
      </c>
      <c r="I10" s="1">
        <v>0.74650000000000005</v>
      </c>
      <c r="J10" s="1">
        <v>0.55600000000000005</v>
      </c>
      <c r="K10" s="1">
        <v>0.63150000000000006</v>
      </c>
      <c r="N10" s="2"/>
    </row>
    <row r="11" spans="1:14">
      <c r="B11" s="1" t="s">
        <v>188</v>
      </c>
      <c r="C11" s="1">
        <v>10.6225</v>
      </c>
      <c r="D11" s="1">
        <v>17.656199999999998</v>
      </c>
      <c r="F11" s="1">
        <v>0.40870000000000001</v>
      </c>
      <c r="G11" s="1">
        <v>0.72009999999999996</v>
      </c>
      <c r="H11" s="1">
        <v>0.71560000000000001</v>
      </c>
      <c r="I11" s="5">
        <v>0.747</v>
      </c>
      <c r="J11" s="1">
        <v>0.55959999999999999</v>
      </c>
      <c r="K11" s="1">
        <v>0.63020000000000009</v>
      </c>
      <c r="N11" s="8"/>
    </row>
    <row r="12" spans="1:14">
      <c r="B12" s="1" t="s">
        <v>193</v>
      </c>
      <c r="C12" s="1">
        <v>9.8101000000000003</v>
      </c>
      <c r="D12" s="1">
        <v>15.8705</v>
      </c>
      <c r="F12" s="5">
        <v>0.41470000000000001</v>
      </c>
      <c r="G12" s="5">
        <v>0.73319999999999996</v>
      </c>
      <c r="H12" s="5">
        <v>0.74560000000000004</v>
      </c>
      <c r="I12" s="5">
        <v>0.75080000000000002</v>
      </c>
      <c r="J12" s="5">
        <v>0.58479999999999999</v>
      </c>
      <c r="K12" s="1">
        <v>0.64581999999999995</v>
      </c>
      <c r="N12" s="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45"/>
  <sheetViews>
    <sheetView workbookViewId="0"/>
  </sheetViews>
  <sheetFormatPr defaultColWidth="12.6640625" defaultRowHeight="15.75" customHeight="1"/>
  <sheetData>
    <row r="1" spans="1:9">
      <c r="A1" s="314" t="s">
        <v>196</v>
      </c>
      <c r="B1" s="315"/>
      <c r="C1" s="315"/>
      <c r="D1" s="315"/>
      <c r="E1" s="315"/>
      <c r="F1" s="315"/>
      <c r="G1" s="315"/>
      <c r="H1" s="315"/>
      <c r="I1" s="315"/>
    </row>
    <row r="2" spans="1:9">
      <c r="A2" s="87" t="s">
        <v>160</v>
      </c>
      <c r="B2" s="87" t="s">
        <v>161</v>
      </c>
      <c r="C2" s="87" t="s">
        <v>197</v>
      </c>
      <c r="D2" s="87" t="s">
        <v>4</v>
      </c>
      <c r="E2" s="87" t="s">
        <v>5</v>
      </c>
      <c r="F2" s="87" t="s">
        <v>6</v>
      </c>
      <c r="G2" s="87" t="s">
        <v>10</v>
      </c>
      <c r="H2" s="87" t="s">
        <v>11</v>
      </c>
      <c r="I2" s="87" t="s">
        <v>198</v>
      </c>
    </row>
    <row r="3" spans="1:9">
      <c r="A3" s="88" t="s">
        <v>199</v>
      </c>
      <c r="B3" s="89" t="s">
        <v>200</v>
      </c>
      <c r="C3" s="89">
        <v>6.0839999999999996</v>
      </c>
      <c r="D3" s="89">
        <v>47.7</v>
      </c>
      <c r="E3" s="89">
        <v>80.430000000000007</v>
      </c>
      <c r="F3" s="89">
        <v>84.62</v>
      </c>
      <c r="G3" s="89">
        <v>78.84</v>
      </c>
      <c r="H3" s="89">
        <v>81.59</v>
      </c>
      <c r="I3" s="87">
        <v>74.63</v>
      </c>
    </row>
    <row r="4" spans="1:9">
      <c r="A4" s="88" t="s">
        <v>201</v>
      </c>
      <c r="B4" s="89" t="s">
        <v>200</v>
      </c>
      <c r="C4" s="89">
        <v>8.6489999999999991</v>
      </c>
      <c r="D4" s="89">
        <v>43</v>
      </c>
      <c r="E4" s="89">
        <v>73.27</v>
      </c>
      <c r="F4" s="89">
        <v>79.08</v>
      </c>
      <c r="G4" s="89">
        <v>76.5</v>
      </c>
      <c r="H4" s="89">
        <v>67.87</v>
      </c>
      <c r="I4" s="87">
        <v>67.95</v>
      </c>
    </row>
    <row r="5" spans="1:9">
      <c r="A5" s="89">
        <v>0</v>
      </c>
      <c r="B5" s="89">
        <v>0.01</v>
      </c>
      <c r="C5" s="89">
        <v>8.3740000000000006</v>
      </c>
      <c r="D5" s="89">
        <v>43.77</v>
      </c>
      <c r="E5" s="89">
        <v>72.260000000000005</v>
      </c>
      <c r="F5" s="89">
        <v>79.14</v>
      </c>
      <c r="G5" s="89">
        <v>76.930000000000007</v>
      </c>
      <c r="H5" s="89">
        <v>68.59</v>
      </c>
      <c r="I5" s="87">
        <v>68.14</v>
      </c>
    </row>
    <row r="6" spans="1:9">
      <c r="A6" s="89">
        <v>0</v>
      </c>
      <c r="B6" s="89">
        <v>0.02</v>
      </c>
      <c r="C6" s="89">
        <v>8.2249999999999996</v>
      </c>
      <c r="D6" s="89">
        <v>43.6</v>
      </c>
      <c r="E6" s="89">
        <v>72.349999999999994</v>
      </c>
      <c r="F6" s="89">
        <v>80.95</v>
      </c>
      <c r="G6" s="89">
        <v>76.989999999999995</v>
      </c>
      <c r="H6" s="89">
        <v>65.7</v>
      </c>
      <c r="I6" s="87">
        <v>67.92</v>
      </c>
    </row>
    <row r="7" spans="1:9">
      <c r="A7" s="89">
        <v>0</v>
      </c>
      <c r="B7" s="89">
        <v>0.03</v>
      </c>
      <c r="C7" s="89">
        <v>8.1280000000000001</v>
      </c>
      <c r="D7" s="89">
        <v>44.45</v>
      </c>
      <c r="E7" s="89">
        <v>72.260000000000005</v>
      </c>
      <c r="F7" s="89">
        <v>80.34</v>
      </c>
      <c r="G7" s="89">
        <v>77.42</v>
      </c>
      <c r="H7" s="89">
        <v>66.06</v>
      </c>
      <c r="I7" s="87">
        <v>68.11</v>
      </c>
    </row>
    <row r="8" spans="1:9">
      <c r="A8" s="89">
        <v>0</v>
      </c>
      <c r="B8" s="89">
        <v>0.04</v>
      </c>
      <c r="C8" s="89">
        <v>8.0719999999999992</v>
      </c>
      <c r="D8" s="89">
        <v>43.77</v>
      </c>
      <c r="E8" s="89">
        <v>72.73</v>
      </c>
      <c r="F8" s="89">
        <v>78.099999999999994</v>
      </c>
      <c r="G8" s="89">
        <v>77.64</v>
      </c>
      <c r="H8" s="89">
        <v>61.73</v>
      </c>
      <c r="I8" s="87">
        <v>66.790000000000006</v>
      </c>
    </row>
    <row r="9" spans="1:9">
      <c r="A9" s="89">
        <v>0</v>
      </c>
      <c r="B9" s="89">
        <v>0.05</v>
      </c>
      <c r="C9" s="89">
        <v>8.0860000000000003</v>
      </c>
      <c r="D9" s="89">
        <v>44.11</v>
      </c>
      <c r="E9" s="89">
        <v>72.849999999999994</v>
      </c>
      <c r="F9" s="89">
        <v>81.16</v>
      </c>
      <c r="G9" s="89">
        <v>77.86</v>
      </c>
      <c r="H9" s="89">
        <v>68.95</v>
      </c>
      <c r="I9" s="87">
        <v>68.989999999999995</v>
      </c>
    </row>
    <row r="10" spans="1:9">
      <c r="A10" s="89">
        <v>0.01</v>
      </c>
      <c r="B10" s="89">
        <v>0.01</v>
      </c>
      <c r="C10" s="89">
        <v>8.359</v>
      </c>
      <c r="D10" s="89">
        <v>44.8</v>
      </c>
      <c r="E10" s="89">
        <v>73.27</v>
      </c>
      <c r="F10" s="89">
        <v>81.739999999999995</v>
      </c>
      <c r="G10" s="89">
        <v>77.2</v>
      </c>
      <c r="H10" s="89">
        <v>65.34</v>
      </c>
      <c r="I10" s="87">
        <v>68.47</v>
      </c>
    </row>
    <row r="11" spans="1:9">
      <c r="A11" s="89">
        <v>0.01</v>
      </c>
      <c r="B11" s="89">
        <v>0.02</v>
      </c>
      <c r="C11" s="89">
        <v>8.2260000000000009</v>
      </c>
      <c r="D11" s="89">
        <v>43.09</v>
      </c>
      <c r="E11" s="89">
        <v>71.680000000000007</v>
      </c>
      <c r="F11" s="89">
        <v>81.99</v>
      </c>
      <c r="G11" s="89">
        <v>76.930000000000007</v>
      </c>
      <c r="H11" s="89">
        <v>68.95</v>
      </c>
      <c r="I11" s="87">
        <v>68.53</v>
      </c>
    </row>
    <row r="12" spans="1:9">
      <c r="A12" s="89">
        <v>0.01</v>
      </c>
      <c r="B12" s="89">
        <v>0.03</v>
      </c>
      <c r="C12" s="89">
        <v>8.1460000000000008</v>
      </c>
      <c r="D12" s="89">
        <v>44.28</v>
      </c>
      <c r="E12" s="89">
        <v>71.63</v>
      </c>
      <c r="F12" s="89">
        <v>79.2</v>
      </c>
      <c r="G12" s="89">
        <v>77.69</v>
      </c>
      <c r="H12" s="89">
        <v>65.7</v>
      </c>
      <c r="I12" s="87">
        <v>67.7</v>
      </c>
    </row>
    <row r="13" spans="1:9">
      <c r="A13" s="89">
        <v>0.01</v>
      </c>
      <c r="B13" s="89">
        <v>0.04</v>
      </c>
      <c r="C13" s="89">
        <v>8.1010000000000009</v>
      </c>
      <c r="D13" s="89">
        <v>44.11</v>
      </c>
      <c r="E13" s="89">
        <v>73.06</v>
      </c>
      <c r="F13" s="89">
        <v>79.97</v>
      </c>
      <c r="G13" s="89">
        <v>78.069999999999993</v>
      </c>
      <c r="H13" s="89">
        <v>62.45</v>
      </c>
      <c r="I13" s="87">
        <v>67.53</v>
      </c>
    </row>
    <row r="14" spans="1:9">
      <c r="A14" s="89">
        <v>0.01</v>
      </c>
      <c r="B14" s="89">
        <v>0.05</v>
      </c>
      <c r="C14" s="89">
        <v>8.0860000000000003</v>
      </c>
      <c r="D14" s="89">
        <v>44.11</v>
      </c>
      <c r="E14" s="89">
        <v>72.900000000000006</v>
      </c>
      <c r="F14" s="89">
        <v>80.55</v>
      </c>
      <c r="G14" s="89">
        <v>77.69</v>
      </c>
      <c r="H14" s="89">
        <v>64.62</v>
      </c>
      <c r="I14" s="87">
        <v>67.97</v>
      </c>
    </row>
    <row r="15" spans="1:9">
      <c r="A15" s="89">
        <v>0.02</v>
      </c>
      <c r="B15" s="89">
        <v>0.01</v>
      </c>
      <c r="C15" s="89">
        <v>8.3520000000000003</v>
      </c>
      <c r="D15" s="89">
        <v>43.77</v>
      </c>
      <c r="E15" s="89">
        <v>73.19</v>
      </c>
      <c r="F15" s="89">
        <v>80.55</v>
      </c>
      <c r="G15" s="89">
        <v>76.66</v>
      </c>
      <c r="H15" s="89">
        <v>70.760000000000005</v>
      </c>
      <c r="I15" s="87">
        <v>68.989999999999995</v>
      </c>
    </row>
    <row r="16" spans="1:9">
      <c r="A16" s="89">
        <v>0.02</v>
      </c>
      <c r="B16" s="89">
        <v>0.02</v>
      </c>
      <c r="C16" s="89">
        <v>8.2149999999999999</v>
      </c>
      <c r="D16" s="89">
        <v>45.05</v>
      </c>
      <c r="E16" s="89">
        <v>72.56</v>
      </c>
      <c r="F16" s="89">
        <v>80.89</v>
      </c>
      <c r="G16" s="89">
        <v>76.819999999999993</v>
      </c>
      <c r="H16" s="89">
        <v>65.7</v>
      </c>
      <c r="I16" s="87">
        <v>68.2</v>
      </c>
    </row>
    <row r="17" spans="1:26">
      <c r="A17" s="90">
        <v>0.02</v>
      </c>
      <c r="B17" s="90">
        <v>0.03</v>
      </c>
      <c r="C17" s="90">
        <v>8.1479999999999997</v>
      </c>
      <c r="D17" s="90">
        <v>44.54</v>
      </c>
      <c r="E17" s="90">
        <v>72.64</v>
      </c>
      <c r="F17" s="90">
        <v>81.13</v>
      </c>
      <c r="G17" s="90">
        <v>77.150000000000006</v>
      </c>
      <c r="H17" s="90">
        <v>72.56</v>
      </c>
      <c r="I17" s="91">
        <v>69.61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>
      <c r="A18" s="89">
        <v>0.02</v>
      </c>
      <c r="B18" s="89">
        <v>0.04</v>
      </c>
      <c r="C18" s="89">
        <v>8.0939999999999994</v>
      </c>
      <c r="D18" s="89">
        <v>44.03</v>
      </c>
      <c r="E18" s="89">
        <v>72.73</v>
      </c>
      <c r="F18" s="89">
        <v>78.87</v>
      </c>
      <c r="G18" s="89">
        <v>77.42</v>
      </c>
      <c r="H18" s="89">
        <v>64.260000000000005</v>
      </c>
      <c r="I18" s="87">
        <v>67.459999999999994</v>
      </c>
    </row>
    <row r="19" spans="1:26">
      <c r="A19" s="89">
        <v>0.02</v>
      </c>
      <c r="B19" s="89">
        <v>0.05</v>
      </c>
      <c r="C19" s="89">
        <v>8.0809999999999995</v>
      </c>
      <c r="D19" s="89">
        <v>44.62</v>
      </c>
      <c r="E19" s="89">
        <v>73.19</v>
      </c>
      <c r="F19" s="89">
        <v>80.09</v>
      </c>
      <c r="G19" s="89">
        <v>77.53</v>
      </c>
      <c r="H19" s="89">
        <v>67.150000000000006</v>
      </c>
      <c r="I19" s="87">
        <v>68.52</v>
      </c>
    </row>
    <row r="20" spans="1:26">
      <c r="A20" s="89">
        <v>0.03</v>
      </c>
      <c r="B20" s="89">
        <v>0.01</v>
      </c>
      <c r="C20" s="89">
        <v>8.4169999999999998</v>
      </c>
      <c r="D20" s="89">
        <v>43.86</v>
      </c>
      <c r="E20" s="89">
        <v>72.31</v>
      </c>
      <c r="F20" s="89">
        <v>79.45</v>
      </c>
      <c r="G20" s="89">
        <v>77.2</v>
      </c>
      <c r="H20" s="89">
        <v>66.430000000000007</v>
      </c>
      <c r="I20" s="87">
        <v>67.849999999999994</v>
      </c>
    </row>
    <row r="21" spans="1:26">
      <c r="A21" s="89">
        <v>0.03</v>
      </c>
      <c r="B21" s="89">
        <v>0.02</v>
      </c>
      <c r="C21" s="89">
        <v>8.2530000000000001</v>
      </c>
      <c r="D21" s="89">
        <v>44.28</v>
      </c>
      <c r="E21" s="89">
        <v>73.150000000000006</v>
      </c>
      <c r="F21" s="89">
        <v>80.760000000000005</v>
      </c>
      <c r="G21" s="89">
        <v>76.989999999999995</v>
      </c>
      <c r="H21" s="89">
        <v>63.54</v>
      </c>
      <c r="I21" s="87">
        <v>67.739999999999995</v>
      </c>
    </row>
    <row r="22" spans="1:26">
      <c r="A22" s="89">
        <v>0.03</v>
      </c>
      <c r="B22" s="89">
        <v>0.03</v>
      </c>
      <c r="C22" s="89">
        <v>8.1690000000000005</v>
      </c>
      <c r="D22" s="89">
        <v>44.11</v>
      </c>
      <c r="E22" s="89">
        <v>72.39</v>
      </c>
      <c r="F22" s="89">
        <v>78.959999999999994</v>
      </c>
      <c r="G22" s="89">
        <v>78.069999999999993</v>
      </c>
      <c r="H22" s="89">
        <v>66.06</v>
      </c>
      <c r="I22" s="87">
        <v>67.92</v>
      </c>
    </row>
    <row r="23" spans="1:26">
      <c r="A23" s="89">
        <v>0.03</v>
      </c>
      <c r="B23" s="89">
        <v>0.04</v>
      </c>
      <c r="C23" s="89">
        <v>8.0980000000000008</v>
      </c>
      <c r="D23" s="89">
        <v>43.94</v>
      </c>
      <c r="E23" s="89">
        <v>71.59</v>
      </c>
      <c r="F23" s="89">
        <v>80.09</v>
      </c>
      <c r="G23" s="89">
        <v>77.260000000000005</v>
      </c>
      <c r="H23" s="89">
        <v>60.65</v>
      </c>
      <c r="I23" s="87">
        <v>66.709999999999994</v>
      </c>
    </row>
    <row r="24" spans="1:26">
      <c r="A24" s="89">
        <v>0.03</v>
      </c>
      <c r="B24" s="89">
        <v>0.05</v>
      </c>
      <c r="C24" s="89">
        <v>8.0749999999999993</v>
      </c>
      <c r="D24" s="89">
        <v>44.62</v>
      </c>
      <c r="E24" s="89">
        <v>73.48</v>
      </c>
      <c r="F24" s="89">
        <v>80.28</v>
      </c>
      <c r="G24" s="89">
        <v>77.64</v>
      </c>
      <c r="H24" s="89">
        <v>64.62</v>
      </c>
      <c r="I24" s="87">
        <v>68.13</v>
      </c>
    </row>
    <row r="25" spans="1:26">
      <c r="A25" s="89">
        <v>0.04</v>
      </c>
      <c r="B25" s="89">
        <v>0.01</v>
      </c>
      <c r="C25" s="89">
        <v>8.3970000000000002</v>
      </c>
      <c r="D25" s="89">
        <v>43.86</v>
      </c>
      <c r="E25" s="89">
        <v>72.47</v>
      </c>
      <c r="F25" s="89">
        <v>81.22</v>
      </c>
      <c r="G25" s="89">
        <v>77.42</v>
      </c>
      <c r="H25" s="89">
        <v>69.31</v>
      </c>
      <c r="I25" s="87">
        <v>68.86</v>
      </c>
    </row>
    <row r="26" spans="1:26">
      <c r="A26" s="89">
        <v>0.04</v>
      </c>
      <c r="B26" s="89">
        <v>0.02</v>
      </c>
      <c r="C26" s="89">
        <v>8.2560000000000002</v>
      </c>
      <c r="D26" s="89">
        <v>43.34</v>
      </c>
      <c r="E26" s="89">
        <v>73.44</v>
      </c>
      <c r="F26" s="89">
        <v>81.349999999999994</v>
      </c>
      <c r="G26" s="89">
        <v>76.66</v>
      </c>
      <c r="H26" s="89">
        <v>67.510000000000005</v>
      </c>
      <c r="I26" s="87">
        <v>68.459999999999994</v>
      </c>
    </row>
    <row r="27" spans="1:26">
      <c r="A27" s="89">
        <v>0.04</v>
      </c>
      <c r="B27" s="89">
        <v>0.03</v>
      </c>
      <c r="C27" s="89">
        <v>8.1850000000000005</v>
      </c>
      <c r="D27" s="89">
        <v>43.77</v>
      </c>
      <c r="E27" s="89">
        <v>71.680000000000007</v>
      </c>
      <c r="F27" s="89">
        <v>80.760000000000005</v>
      </c>
      <c r="G27" s="89">
        <v>77.31</v>
      </c>
      <c r="H27" s="89">
        <v>68.59</v>
      </c>
      <c r="I27" s="87">
        <v>68.42</v>
      </c>
    </row>
    <row r="28" spans="1:26">
      <c r="A28" s="89">
        <v>0.04</v>
      </c>
      <c r="B28" s="89">
        <v>0.04</v>
      </c>
      <c r="C28" s="89">
        <v>8.0969999999999995</v>
      </c>
      <c r="D28" s="89">
        <v>43.17</v>
      </c>
      <c r="E28" s="89">
        <v>70.790000000000006</v>
      </c>
      <c r="F28" s="89">
        <v>79.33</v>
      </c>
      <c r="G28" s="89">
        <v>77.09</v>
      </c>
      <c r="H28" s="89">
        <v>62.82</v>
      </c>
      <c r="I28" s="87">
        <v>66.64</v>
      </c>
    </row>
    <row r="29" spans="1:26">
      <c r="A29" s="89">
        <v>0.04</v>
      </c>
      <c r="B29" s="89">
        <v>0.05</v>
      </c>
      <c r="C29" s="89">
        <v>8.0860000000000003</v>
      </c>
      <c r="D29" s="89">
        <v>44.45</v>
      </c>
      <c r="E29" s="89">
        <v>73.989999999999995</v>
      </c>
      <c r="F29" s="89">
        <v>79.17</v>
      </c>
      <c r="G29" s="89">
        <v>77.69</v>
      </c>
      <c r="H29" s="89">
        <v>65.7</v>
      </c>
      <c r="I29" s="87">
        <v>68.2</v>
      </c>
    </row>
    <row r="30" spans="1:26">
      <c r="A30" s="89">
        <v>0.05</v>
      </c>
      <c r="B30" s="89">
        <v>0.01</v>
      </c>
      <c r="C30" s="89">
        <v>8.4039999999999999</v>
      </c>
      <c r="D30" s="89">
        <v>43.86</v>
      </c>
      <c r="E30" s="89">
        <v>73.06</v>
      </c>
      <c r="F30" s="89">
        <v>81.19</v>
      </c>
      <c r="G30" s="89">
        <v>77.58</v>
      </c>
      <c r="H30" s="89">
        <v>64.260000000000005</v>
      </c>
      <c r="I30" s="87">
        <v>67.989999999999995</v>
      </c>
    </row>
    <row r="31" spans="1:26">
      <c r="A31" s="89">
        <v>0.05</v>
      </c>
      <c r="B31" s="89">
        <v>0.02</v>
      </c>
      <c r="C31" s="89">
        <v>8.2629999999999999</v>
      </c>
      <c r="D31" s="89">
        <v>43.77</v>
      </c>
      <c r="E31" s="89">
        <v>72.52</v>
      </c>
      <c r="F31" s="89">
        <v>80.73</v>
      </c>
      <c r="G31" s="89">
        <v>77.2</v>
      </c>
      <c r="H31" s="89">
        <v>62.82</v>
      </c>
      <c r="I31" s="87">
        <v>67.41</v>
      </c>
    </row>
    <row r="32" spans="1:26">
      <c r="A32" s="89">
        <v>0.05</v>
      </c>
      <c r="B32" s="89">
        <v>0.03</v>
      </c>
      <c r="C32" s="89">
        <v>8.1660000000000004</v>
      </c>
      <c r="D32" s="89">
        <v>44.2</v>
      </c>
      <c r="E32" s="89">
        <v>72.180000000000007</v>
      </c>
      <c r="F32" s="89">
        <v>80.7</v>
      </c>
      <c r="G32" s="89">
        <v>77.69</v>
      </c>
      <c r="H32" s="89">
        <v>71.84</v>
      </c>
      <c r="I32" s="87">
        <v>69.319999999999993</v>
      </c>
    </row>
    <row r="33" spans="1:9">
      <c r="A33" s="89">
        <v>0.05</v>
      </c>
      <c r="B33" s="89">
        <v>0.04</v>
      </c>
      <c r="C33" s="89">
        <v>8.1219999999999999</v>
      </c>
      <c r="D33" s="89">
        <v>44.45</v>
      </c>
      <c r="E33" s="89">
        <v>73.44</v>
      </c>
      <c r="F33" s="89">
        <v>78.78</v>
      </c>
      <c r="G33" s="89">
        <v>77.260000000000005</v>
      </c>
      <c r="H33" s="89">
        <v>61.01</v>
      </c>
      <c r="I33" s="87">
        <v>66.989999999999995</v>
      </c>
    </row>
    <row r="34" spans="1:9">
      <c r="A34" s="89">
        <v>0.05</v>
      </c>
      <c r="B34" s="89">
        <v>0.05</v>
      </c>
      <c r="C34" s="89">
        <v>8.1</v>
      </c>
      <c r="D34" s="89">
        <v>43.77</v>
      </c>
      <c r="E34" s="89">
        <v>73.36</v>
      </c>
      <c r="F34" s="89">
        <v>79.88</v>
      </c>
      <c r="G34" s="89">
        <v>77.53</v>
      </c>
      <c r="H34" s="89">
        <v>67.87</v>
      </c>
      <c r="I34" s="87">
        <v>68.48</v>
      </c>
    </row>
    <row r="35" spans="1:9">
      <c r="A35" s="10"/>
      <c r="B35" s="10"/>
      <c r="C35" s="10"/>
      <c r="D35" s="10"/>
      <c r="E35" s="10"/>
      <c r="F35" s="10"/>
      <c r="G35" s="10"/>
      <c r="H35" s="10"/>
      <c r="I35" s="10"/>
    </row>
    <row r="36" spans="1:9">
      <c r="A36" s="10"/>
      <c r="B36" s="10"/>
      <c r="C36" s="10"/>
      <c r="D36" s="10"/>
      <c r="E36" s="10"/>
      <c r="F36" s="10"/>
      <c r="G36" s="10"/>
      <c r="H36" s="10"/>
      <c r="I36" s="10"/>
    </row>
    <row r="37" spans="1:9">
      <c r="A37" s="314" t="s">
        <v>202</v>
      </c>
      <c r="B37" s="315"/>
      <c r="C37" s="315"/>
      <c r="D37" s="315"/>
      <c r="E37" s="315"/>
      <c r="F37" s="315"/>
      <c r="G37" s="315"/>
      <c r="H37" s="315"/>
      <c r="I37" s="315"/>
    </row>
    <row r="38" spans="1:9">
      <c r="A38" s="87" t="s">
        <v>160</v>
      </c>
      <c r="B38" s="87" t="s">
        <v>161</v>
      </c>
      <c r="C38" s="87" t="s">
        <v>197</v>
      </c>
      <c r="D38" s="87" t="s">
        <v>4</v>
      </c>
      <c r="E38" s="87" t="s">
        <v>5</v>
      </c>
      <c r="F38" s="87" t="s">
        <v>6</v>
      </c>
      <c r="G38" s="87" t="s">
        <v>10</v>
      </c>
      <c r="H38" s="87" t="s">
        <v>11</v>
      </c>
      <c r="I38" s="87" t="s">
        <v>198</v>
      </c>
    </row>
    <row r="39" spans="1:9">
      <c r="A39" s="88" t="s">
        <v>199</v>
      </c>
      <c r="B39" s="89" t="s">
        <v>200</v>
      </c>
      <c r="C39" s="89">
        <v>6.0839999999999996</v>
      </c>
      <c r="D39" s="89">
        <v>47.7</v>
      </c>
      <c r="E39" s="89">
        <v>80.430000000000007</v>
      </c>
      <c r="F39" s="89">
        <v>84.62</v>
      </c>
      <c r="G39" s="89">
        <v>78.84</v>
      </c>
      <c r="H39" s="89">
        <v>81.59</v>
      </c>
      <c r="I39" s="87">
        <v>74.63</v>
      </c>
    </row>
    <row r="40" spans="1:9">
      <c r="A40" s="88" t="s">
        <v>201</v>
      </c>
      <c r="B40" s="89" t="s">
        <v>200</v>
      </c>
      <c r="C40" s="89">
        <v>7.2320000000000002</v>
      </c>
      <c r="D40" s="89">
        <v>50.26</v>
      </c>
      <c r="E40" s="89">
        <v>80.05</v>
      </c>
      <c r="F40" s="89">
        <v>82.69</v>
      </c>
      <c r="G40" s="89">
        <v>77.48</v>
      </c>
      <c r="H40" s="89">
        <v>75.09</v>
      </c>
      <c r="I40" s="87">
        <v>73.11</v>
      </c>
    </row>
    <row r="41" spans="1:9">
      <c r="A41" s="89">
        <v>0</v>
      </c>
      <c r="B41" s="89">
        <v>0.01</v>
      </c>
      <c r="C41" s="89">
        <v>7.226</v>
      </c>
      <c r="D41" s="89">
        <v>49.06</v>
      </c>
      <c r="E41" s="89">
        <v>80.180000000000007</v>
      </c>
      <c r="F41" s="89">
        <v>82.54</v>
      </c>
      <c r="G41" s="89">
        <v>77.58</v>
      </c>
      <c r="H41" s="89">
        <v>77.98</v>
      </c>
      <c r="I41" s="87">
        <v>73.47</v>
      </c>
    </row>
    <row r="42" spans="1:9">
      <c r="A42" s="89">
        <v>0</v>
      </c>
      <c r="B42" s="89">
        <v>0.02</v>
      </c>
      <c r="C42" s="89">
        <v>7.2290000000000001</v>
      </c>
      <c r="D42" s="89">
        <v>49.91</v>
      </c>
      <c r="E42" s="89">
        <v>80.260000000000005</v>
      </c>
      <c r="F42" s="89">
        <v>82.72</v>
      </c>
      <c r="G42" s="89">
        <v>77.37</v>
      </c>
      <c r="H42" s="89">
        <v>76.17</v>
      </c>
      <c r="I42" s="87">
        <v>73.290000000000006</v>
      </c>
    </row>
    <row r="43" spans="1:9">
      <c r="A43" s="89">
        <v>0</v>
      </c>
      <c r="B43" s="89">
        <v>0.03</v>
      </c>
      <c r="C43" s="89">
        <v>7.22</v>
      </c>
      <c r="D43" s="89">
        <v>49.49</v>
      </c>
      <c r="E43" s="89">
        <v>80.39</v>
      </c>
      <c r="F43" s="89">
        <v>83.06</v>
      </c>
      <c r="G43" s="89">
        <v>76.61</v>
      </c>
      <c r="H43" s="89">
        <v>77.260000000000005</v>
      </c>
      <c r="I43" s="87">
        <v>73.36</v>
      </c>
    </row>
    <row r="44" spans="1:9">
      <c r="A44" s="89">
        <v>0</v>
      </c>
      <c r="B44" s="89">
        <v>0.04</v>
      </c>
      <c r="C44" s="89">
        <v>7.2249999999999996</v>
      </c>
      <c r="D44" s="89">
        <v>49.83</v>
      </c>
      <c r="E44" s="89">
        <v>80.39</v>
      </c>
      <c r="F44" s="89">
        <v>82.78</v>
      </c>
      <c r="G44" s="89">
        <v>77.75</v>
      </c>
      <c r="H44" s="89">
        <v>75.81</v>
      </c>
      <c r="I44" s="87">
        <v>73.31</v>
      </c>
    </row>
    <row r="45" spans="1:9">
      <c r="A45" s="89">
        <v>0</v>
      </c>
      <c r="B45" s="89">
        <v>0.05</v>
      </c>
      <c r="C45" s="89">
        <v>7.2329999999999997</v>
      </c>
      <c r="D45" s="89">
        <v>50.17</v>
      </c>
      <c r="E45" s="89">
        <v>80.010000000000005</v>
      </c>
      <c r="F45" s="89">
        <v>82.35</v>
      </c>
      <c r="G45" s="89">
        <v>77.75</v>
      </c>
      <c r="H45" s="89">
        <v>77.260000000000005</v>
      </c>
      <c r="I45" s="87">
        <v>73.510000000000005</v>
      </c>
    </row>
    <row r="46" spans="1:9">
      <c r="A46" s="89">
        <v>0.01</v>
      </c>
      <c r="B46" s="89">
        <v>0.01</v>
      </c>
      <c r="C46" s="89">
        <v>7.2290000000000001</v>
      </c>
      <c r="D46" s="89">
        <v>50.17</v>
      </c>
      <c r="E46" s="89">
        <v>80.3</v>
      </c>
      <c r="F46" s="89">
        <v>82.63</v>
      </c>
      <c r="G46" s="89">
        <v>77.58</v>
      </c>
      <c r="H46" s="89">
        <v>76.17</v>
      </c>
      <c r="I46" s="87">
        <v>73.37</v>
      </c>
    </row>
    <row r="47" spans="1:9">
      <c r="A47" s="89">
        <v>0.01</v>
      </c>
      <c r="B47" s="89">
        <v>0.02</v>
      </c>
      <c r="C47" s="89">
        <v>7.22</v>
      </c>
      <c r="D47" s="89">
        <v>49.83</v>
      </c>
      <c r="E47" s="89">
        <v>80.599999999999994</v>
      </c>
      <c r="F47" s="89">
        <v>82.35</v>
      </c>
      <c r="G47" s="89">
        <v>77.69</v>
      </c>
      <c r="H47" s="89">
        <v>77.98</v>
      </c>
      <c r="I47" s="87">
        <v>73.69</v>
      </c>
    </row>
    <row r="48" spans="1:9">
      <c r="A48" s="89">
        <v>0.01</v>
      </c>
      <c r="B48" s="89">
        <v>0.03</v>
      </c>
      <c r="C48" s="89">
        <v>7.2210000000000001</v>
      </c>
      <c r="D48" s="89">
        <v>50.94</v>
      </c>
      <c r="E48" s="89">
        <v>80.349999999999994</v>
      </c>
      <c r="F48" s="89">
        <v>82.75</v>
      </c>
      <c r="G48" s="89">
        <v>77.42</v>
      </c>
      <c r="H48" s="89">
        <v>76.53</v>
      </c>
      <c r="I48" s="87">
        <v>73.599999999999994</v>
      </c>
    </row>
    <row r="49" spans="1:26">
      <c r="A49" s="89">
        <v>0.01</v>
      </c>
      <c r="B49" s="89">
        <v>0.04</v>
      </c>
      <c r="C49" s="89">
        <v>7.22</v>
      </c>
      <c r="D49" s="89">
        <v>48.46</v>
      </c>
      <c r="E49" s="89">
        <v>80.180000000000007</v>
      </c>
      <c r="F49" s="89">
        <v>82.75</v>
      </c>
      <c r="G49" s="89">
        <v>77.42</v>
      </c>
      <c r="H49" s="89">
        <v>76.900000000000006</v>
      </c>
      <c r="I49" s="87">
        <v>73.14</v>
      </c>
    </row>
    <row r="50" spans="1:26">
      <c r="A50" s="89">
        <v>0.01</v>
      </c>
      <c r="B50" s="89">
        <v>0.05</v>
      </c>
      <c r="C50" s="89">
        <v>7.2370000000000001</v>
      </c>
      <c r="D50" s="89">
        <v>49.57</v>
      </c>
      <c r="E50" s="89">
        <v>80.09</v>
      </c>
      <c r="F50" s="89">
        <v>82.42</v>
      </c>
      <c r="G50" s="89">
        <v>77.09</v>
      </c>
      <c r="H50" s="89">
        <v>76.900000000000006</v>
      </c>
      <c r="I50" s="87">
        <v>73.209999999999994</v>
      </c>
    </row>
    <row r="51" spans="1:26">
      <c r="A51" s="89">
        <v>0.02</v>
      </c>
      <c r="B51" s="89">
        <v>0.01</v>
      </c>
      <c r="C51" s="89">
        <v>7.2240000000000002</v>
      </c>
      <c r="D51" s="89">
        <v>50.26</v>
      </c>
      <c r="E51" s="89">
        <v>80.22</v>
      </c>
      <c r="F51" s="89">
        <v>82.97</v>
      </c>
      <c r="G51" s="89">
        <v>78.069999999999993</v>
      </c>
      <c r="H51" s="89">
        <v>76.17</v>
      </c>
      <c r="I51" s="87">
        <v>73.540000000000006</v>
      </c>
    </row>
    <row r="52" spans="1:26">
      <c r="A52" s="89">
        <v>0.02</v>
      </c>
      <c r="B52" s="89">
        <v>0.02</v>
      </c>
      <c r="C52" s="89">
        <v>7.2309999999999999</v>
      </c>
      <c r="D52" s="89">
        <v>49.83</v>
      </c>
      <c r="E52" s="89">
        <v>80.010000000000005</v>
      </c>
      <c r="F52" s="89">
        <v>83.18</v>
      </c>
      <c r="G52" s="89">
        <v>78.67</v>
      </c>
      <c r="H52" s="89">
        <v>75.45</v>
      </c>
      <c r="I52" s="87">
        <v>73.430000000000007</v>
      </c>
    </row>
    <row r="53" spans="1:26">
      <c r="A53" s="89">
        <v>0.02</v>
      </c>
      <c r="B53" s="89">
        <v>0.03</v>
      </c>
      <c r="C53" s="89">
        <v>7.2220000000000004</v>
      </c>
      <c r="D53" s="89">
        <v>50.34</v>
      </c>
      <c r="E53" s="89">
        <v>80.849999999999994</v>
      </c>
      <c r="F53" s="89">
        <v>82.23</v>
      </c>
      <c r="G53" s="89">
        <v>77.260000000000005</v>
      </c>
      <c r="H53" s="89">
        <v>78.34</v>
      </c>
      <c r="I53" s="87">
        <v>73.8</v>
      </c>
    </row>
    <row r="54" spans="1:26">
      <c r="A54" s="90">
        <v>0.02</v>
      </c>
      <c r="B54" s="90">
        <v>0.04</v>
      </c>
      <c r="C54" s="90">
        <v>7.226</v>
      </c>
      <c r="D54" s="90">
        <v>49.83</v>
      </c>
      <c r="E54" s="90">
        <v>80.510000000000005</v>
      </c>
      <c r="F54" s="90">
        <v>82.84</v>
      </c>
      <c r="G54" s="90">
        <v>78.180000000000007</v>
      </c>
      <c r="H54" s="90">
        <v>77.98</v>
      </c>
      <c r="I54" s="91">
        <v>73.87</v>
      </c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 spans="1:26">
      <c r="A55" s="89">
        <v>0.02</v>
      </c>
      <c r="B55" s="89">
        <v>0.05</v>
      </c>
      <c r="C55" s="89">
        <v>7.2249999999999996</v>
      </c>
      <c r="D55" s="89">
        <v>48.63</v>
      </c>
      <c r="E55" s="89">
        <v>80.13</v>
      </c>
      <c r="F55" s="89">
        <v>82.05</v>
      </c>
      <c r="G55" s="89">
        <v>78.290000000000006</v>
      </c>
      <c r="H55" s="89">
        <v>75.09</v>
      </c>
      <c r="I55" s="87">
        <v>72.84</v>
      </c>
    </row>
    <row r="56" spans="1:26">
      <c r="A56" s="89">
        <v>0.03</v>
      </c>
      <c r="B56" s="89">
        <v>0.01</v>
      </c>
      <c r="C56" s="89">
        <v>7.2309999999999999</v>
      </c>
      <c r="D56" s="89">
        <v>50</v>
      </c>
      <c r="E56" s="89">
        <v>80.430000000000007</v>
      </c>
      <c r="F56" s="89">
        <v>82.42</v>
      </c>
      <c r="G56" s="89">
        <v>78.180000000000007</v>
      </c>
      <c r="H56" s="89">
        <v>76.53</v>
      </c>
      <c r="I56" s="87">
        <v>73.510000000000005</v>
      </c>
    </row>
    <row r="57" spans="1:26">
      <c r="A57" s="89">
        <v>0.03</v>
      </c>
      <c r="B57" s="89">
        <v>0.02</v>
      </c>
      <c r="C57" s="89">
        <v>7.2309999999999999</v>
      </c>
      <c r="D57" s="89">
        <v>50.68</v>
      </c>
      <c r="E57" s="89">
        <v>80.260000000000005</v>
      </c>
      <c r="F57" s="89">
        <v>82.72</v>
      </c>
      <c r="G57" s="89">
        <v>77.31</v>
      </c>
      <c r="H57" s="89">
        <v>76.900000000000006</v>
      </c>
      <c r="I57" s="87">
        <v>73.569999999999993</v>
      </c>
    </row>
    <row r="58" spans="1:26">
      <c r="A58" s="89">
        <v>0.03</v>
      </c>
      <c r="B58" s="89">
        <v>0.03</v>
      </c>
      <c r="C58" s="89">
        <v>7.2240000000000002</v>
      </c>
      <c r="D58" s="89">
        <v>50.17</v>
      </c>
      <c r="E58" s="89">
        <v>80.510000000000005</v>
      </c>
      <c r="F58" s="89">
        <v>82.75</v>
      </c>
      <c r="G58" s="89">
        <v>77.37</v>
      </c>
      <c r="H58" s="89">
        <v>77.260000000000005</v>
      </c>
      <c r="I58" s="87">
        <v>73.61</v>
      </c>
    </row>
    <row r="59" spans="1:26">
      <c r="A59" s="89">
        <v>0.03</v>
      </c>
      <c r="B59" s="89">
        <v>0.04</v>
      </c>
      <c r="C59" s="89">
        <v>7.2249999999999996</v>
      </c>
      <c r="D59" s="89">
        <v>50.09</v>
      </c>
      <c r="E59" s="89">
        <v>80.05</v>
      </c>
      <c r="F59" s="89">
        <v>82.32</v>
      </c>
      <c r="G59" s="89">
        <v>77.48</v>
      </c>
      <c r="H59" s="89">
        <v>75.81</v>
      </c>
      <c r="I59" s="87">
        <v>73.150000000000006</v>
      </c>
    </row>
    <row r="60" spans="1:26">
      <c r="A60" s="89">
        <v>0.03</v>
      </c>
      <c r="B60" s="89">
        <v>0.05</v>
      </c>
      <c r="C60" s="89">
        <v>7.2359999999999998</v>
      </c>
      <c r="D60" s="89">
        <v>49.06</v>
      </c>
      <c r="E60" s="89">
        <v>80.010000000000005</v>
      </c>
      <c r="F60" s="89">
        <v>82.54</v>
      </c>
      <c r="G60" s="89">
        <v>77.64</v>
      </c>
      <c r="H60" s="89">
        <v>74.010000000000005</v>
      </c>
      <c r="I60" s="87">
        <v>72.650000000000006</v>
      </c>
    </row>
    <row r="61" spans="1:26">
      <c r="A61" s="89">
        <v>0.04</v>
      </c>
      <c r="B61" s="89">
        <v>0.01</v>
      </c>
      <c r="C61" s="89">
        <v>7.23</v>
      </c>
      <c r="D61" s="89">
        <v>50.26</v>
      </c>
      <c r="E61" s="89">
        <v>80.56</v>
      </c>
      <c r="F61" s="89">
        <v>82.45</v>
      </c>
      <c r="G61" s="89">
        <v>77.37</v>
      </c>
      <c r="H61" s="89">
        <v>76.900000000000006</v>
      </c>
      <c r="I61" s="87">
        <v>73.5</v>
      </c>
    </row>
    <row r="62" spans="1:26">
      <c r="A62" s="89">
        <v>0.04</v>
      </c>
      <c r="B62" s="89">
        <v>0.02</v>
      </c>
      <c r="C62" s="93" t="s">
        <v>200</v>
      </c>
      <c r="D62" s="93" t="s">
        <v>200</v>
      </c>
      <c r="E62" s="93" t="s">
        <v>200</v>
      </c>
      <c r="F62" s="93" t="s">
        <v>200</v>
      </c>
      <c r="G62" s="93" t="s">
        <v>200</v>
      </c>
      <c r="H62" s="93" t="s">
        <v>200</v>
      </c>
      <c r="I62" s="93" t="s">
        <v>200</v>
      </c>
    </row>
    <row r="63" spans="1:26">
      <c r="A63" s="89">
        <v>0.04</v>
      </c>
      <c r="B63" s="89">
        <v>0.03</v>
      </c>
      <c r="C63" s="93" t="s">
        <v>200</v>
      </c>
      <c r="D63" s="93" t="s">
        <v>200</v>
      </c>
      <c r="E63" s="93" t="s">
        <v>200</v>
      </c>
      <c r="F63" s="93" t="s">
        <v>200</v>
      </c>
      <c r="G63" s="93" t="s">
        <v>200</v>
      </c>
      <c r="H63" s="93" t="s">
        <v>200</v>
      </c>
      <c r="I63" s="93" t="s">
        <v>200</v>
      </c>
    </row>
    <row r="64" spans="1:26">
      <c r="A64" s="89">
        <v>0.04</v>
      </c>
      <c r="B64" s="89">
        <v>0.04</v>
      </c>
      <c r="C64" s="93" t="s">
        <v>200</v>
      </c>
      <c r="D64" s="93" t="s">
        <v>200</v>
      </c>
      <c r="E64" s="93" t="s">
        <v>200</v>
      </c>
      <c r="F64" s="93" t="s">
        <v>200</v>
      </c>
      <c r="G64" s="93" t="s">
        <v>200</v>
      </c>
      <c r="H64" s="93" t="s">
        <v>200</v>
      </c>
      <c r="I64" s="93" t="s">
        <v>200</v>
      </c>
    </row>
    <row r="65" spans="1:26">
      <c r="A65" s="89">
        <v>0.04</v>
      </c>
      <c r="B65" s="89">
        <v>0.05</v>
      </c>
      <c r="C65" s="93" t="s">
        <v>200</v>
      </c>
      <c r="D65" s="93" t="s">
        <v>200</v>
      </c>
      <c r="E65" s="93" t="s">
        <v>200</v>
      </c>
      <c r="F65" s="93" t="s">
        <v>200</v>
      </c>
      <c r="G65" s="93" t="s">
        <v>200</v>
      </c>
      <c r="H65" s="93" t="s">
        <v>200</v>
      </c>
      <c r="I65" s="93" t="s">
        <v>200</v>
      </c>
    </row>
    <row r="66" spans="1:26">
      <c r="A66" s="89">
        <v>0.05</v>
      </c>
      <c r="B66" s="89">
        <v>0.01</v>
      </c>
      <c r="C66" s="93" t="s">
        <v>200</v>
      </c>
      <c r="D66" s="93" t="s">
        <v>200</v>
      </c>
      <c r="E66" s="93" t="s">
        <v>200</v>
      </c>
      <c r="F66" s="93" t="s">
        <v>200</v>
      </c>
      <c r="G66" s="93" t="s">
        <v>200</v>
      </c>
      <c r="H66" s="93" t="s">
        <v>200</v>
      </c>
      <c r="I66" s="93" t="s">
        <v>200</v>
      </c>
    </row>
    <row r="67" spans="1:26">
      <c r="A67" s="89">
        <v>0.05</v>
      </c>
      <c r="B67" s="89">
        <v>0.02</v>
      </c>
      <c r="C67" s="93" t="s">
        <v>200</v>
      </c>
      <c r="D67" s="93" t="s">
        <v>200</v>
      </c>
      <c r="E67" s="93" t="s">
        <v>200</v>
      </c>
      <c r="F67" s="93" t="s">
        <v>200</v>
      </c>
      <c r="G67" s="93" t="s">
        <v>200</v>
      </c>
      <c r="H67" s="93" t="s">
        <v>200</v>
      </c>
      <c r="I67" s="93" t="s">
        <v>200</v>
      </c>
    </row>
    <row r="68" spans="1:26">
      <c r="A68" s="89">
        <v>0.05</v>
      </c>
      <c r="B68" s="89">
        <v>0.03</v>
      </c>
      <c r="C68" s="93" t="s">
        <v>200</v>
      </c>
      <c r="D68" s="93" t="s">
        <v>200</v>
      </c>
      <c r="E68" s="93" t="s">
        <v>200</v>
      </c>
      <c r="F68" s="93" t="s">
        <v>200</v>
      </c>
      <c r="G68" s="93" t="s">
        <v>200</v>
      </c>
      <c r="H68" s="93" t="s">
        <v>200</v>
      </c>
      <c r="I68" s="93" t="s">
        <v>200</v>
      </c>
    </row>
    <row r="69" spans="1:26">
      <c r="A69" s="89">
        <v>0.05</v>
      </c>
      <c r="B69" s="89">
        <v>0.04</v>
      </c>
      <c r="C69" s="93" t="s">
        <v>200</v>
      </c>
      <c r="D69" s="93" t="s">
        <v>200</v>
      </c>
      <c r="E69" s="93" t="s">
        <v>200</v>
      </c>
      <c r="F69" s="93" t="s">
        <v>200</v>
      </c>
      <c r="G69" s="93" t="s">
        <v>200</v>
      </c>
      <c r="H69" s="93" t="s">
        <v>200</v>
      </c>
      <c r="I69" s="93" t="s">
        <v>200</v>
      </c>
    </row>
    <row r="70" spans="1:26">
      <c r="A70" s="89">
        <v>0.05</v>
      </c>
      <c r="B70" s="89">
        <v>0.05</v>
      </c>
      <c r="C70" s="93" t="s">
        <v>200</v>
      </c>
      <c r="D70" s="93" t="s">
        <v>200</v>
      </c>
      <c r="E70" s="93" t="s">
        <v>200</v>
      </c>
      <c r="F70" s="93" t="s">
        <v>200</v>
      </c>
      <c r="G70" s="93" t="s">
        <v>200</v>
      </c>
      <c r="H70" s="93" t="s">
        <v>200</v>
      </c>
      <c r="I70" s="93" t="s">
        <v>200</v>
      </c>
    </row>
    <row r="71" spans="1:26">
      <c r="A71" s="10"/>
      <c r="B71" s="10"/>
      <c r="C71" s="10"/>
      <c r="D71" s="10"/>
      <c r="E71" s="10"/>
      <c r="F71" s="10"/>
      <c r="G71" s="10"/>
      <c r="H71" s="10"/>
      <c r="I71" s="10"/>
    </row>
    <row r="72" spans="1:26">
      <c r="A72" s="10"/>
      <c r="B72" s="10"/>
      <c r="C72" s="10"/>
      <c r="D72" s="10"/>
      <c r="E72" s="10"/>
      <c r="F72" s="10"/>
      <c r="G72" s="10"/>
      <c r="H72" s="10"/>
      <c r="I72" s="10"/>
    </row>
    <row r="73" spans="1:26">
      <c r="A73" s="314" t="s">
        <v>203</v>
      </c>
      <c r="B73" s="315"/>
      <c r="C73" s="315"/>
      <c r="D73" s="315"/>
      <c r="E73" s="315"/>
      <c r="F73" s="315"/>
      <c r="G73" s="315"/>
      <c r="H73" s="315"/>
      <c r="I73" s="315"/>
    </row>
    <row r="74" spans="1:26">
      <c r="A74" s="87" t="s">
        <v>160</v>
      </c>
      <c r="B74" s="87" t="s">
        <v>161</v>
      </c>
      <c r="C74" s="87" t="s">
        <v>197</v>
      </c>
      <c r="D74" s="87" t="s">
        <v>4</v>
      </c>
      <c r="E74" s="87" t="s">
        <v>5</v>
      </c>
      <c r="F74" s="87" t="s">
        <v>6</v>
      </c>
      <c r="G74" s="87" t="s">
        <v>10</v>
      </c>
      <c r="H74" s="87" t="s">
        <v>11</v>
      </c>
      <c r="I74" s="87" t="s">
        <v>198</v>
      </c>
    </row>
    <row r="75" spans="1:26">
      <c r="A75" s="88" t="s">
        <v>199</v>
      </c>
      <c r="B75" s="89" t="s">
        <v>200</v>
      </c>
      <c r="C75" s="89">
        <v>5.5220000000000002</v>
      </c>
      <c r="D75" s="89">
        <v>51.19</v>
      </c>
      <c r="E75" s="89">
        <v>81.44</v>
      </c>
      <c r="F75" s="89">
        <v>82.11</v>
      </c>
      <c r="G75" s="89">
        <v>80.2</v>
      </c>
      <c r="H75" s="89">
        <v>69.680000000000007</v>
      </c>
      <c r="I75" s="87">
        <v>72.92</v>
      </c>
    </row>
    <row r="76" spans="1:26">
      <c r="A76" s="88" t="s">
        <v>201</v>
      </c>
      <c r="B76" s="89" t="s">
        <v>200</v>
      </c>
      <c r="C76" s="89">
        <v>8.0760000000000005</v>
      </c>
      <c r="D76" s="89">
        <v>41.47</v>
      </c>
      <c r="E76" s="89">
        <v>74.489999999999995</v>
      </c>
      <c r="F76" s="89">
        <v>71.56</v>
      </c>
      <c r="G76" s="89">
        <v>75.680000000000007</v>
      </c>
      <c r="H76" s="89">
        <v>62.45</v>
      </c>
      <c r="I76" s="87">
        <v>65.13</v>
      </c>
    </row>
    <row r="77" spans="1:26">
      <c r="A77" s="89">
        <v>0</v>
      </c>
      <c r="B77" s="89">
        <v>0.01</v>
      </c>
      <c r="C77" s="89">
        <v>7.8849999999999998</v>
      </c>
      <c r="D77" s="89">
        <v>40.700000000000003</v>
      </c>
      <c r="E77" s="89">
        <v>75.760000000000005</v>
      </c>
      <c r="F77" s="89">
        <v>68.59</v>
      </c>
      <c r="G77" s="89">
        <v>76.17</v>
      </c>
      <c r="H77" s="89">
        <v>59.93</v>
      </c>
      <c r="I77" s="87">
        <v>64.23</v>
      </c>
    </row>
    <row r="78" spans="1:26">
      <c r="A78" s="91">
        <v>0</v>
      </c>
      <c r="B78" s="91">
        <v>0.02</v>
      </c>
      <c r="C78" s="91">
        <v>7.8689999999999998</v>
      </c>
      <c r="D78" s="91">
        <v>40.36</v>
      </c>
      <c r="E78" s="91">
        <v>74.33</v>
      </c>
      <c r="F78" s="91">
        <v>73.430000000000007</v>
      </c>
      <c r="G78" s="91">
        <v>76.17</v>
      </c>
      <c r="H78" s="91">
        <v>63.9</v>
      </c>
      <c r="I78" s="91">
        <v>65.64</v>
      </c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</row>
    <row r="79" spans="1:26">
      <c r="A79" s="89">
        <v>0</v>
      </c>
      <c r="B79" s="89">
        <v>0.03</v>
      </c>
      <c r="C79" s="89">
        <v>7.859</v>
      </c>
      <c r="D79" s="89">
        <v>41.13</v>
      </c>
      <c r="E79" s="89">
        <v>74.66</v>
      </c>
      <c r="F79" s="89">
        <v>70.37</v>
      </c>
      <c r="G79" s="89">
        <v>76.17</v>
      </c>
      <c r="H79" s="89">
        <v>58.84</v>
      </c>
      <c r="I79" s="87">
        <v>64.23</v>
      </c>
    </row>
    <row r="80" spans="1:26">
      <c r="A80" s="89">
        <v>0</v>
      </c>
      <c r="B80" s="89">
        <v>0.04</v>
      </c>
      <c r="C80" s="89">
        <v>7.8789999999999996</v>
      </c>
      <c r="D80" s="89">
        <v>40.96</v>
      </c>
      <c r="E80" s="89">
        <v>74.12</v>
      </c>
      <c r="F80" s="89">
        <v>72.319999999999993</v>
      </c>
      <c r="G80" s="89">
        <v>76.17</v>
      </c>
      <c r="H80" s="89">
        <v>61.73</v>
      </c>
      <c r="I80" s="87">
        <v>65.06</v>
      </c>
    </row>
    <row r="81" spans="1:9">
      <c r="A81" s="89">
        <v>0</v>
      </c>
      <c r="B81" s="89">
        <v>0.05</v>
      </c>
      <c r="C81" s="89">
        <v>7.875</v>
      </c>
      <c r="D81" s="89">
        <v>40.19</v>
      </c>
      <c r="E81" s="89">
        <v>74.2</v>
      </c>
      <c r="F81" s="89">
        <v>72.2</v>
      </c>
      <c r="G81" s="89">
        <v>76.55</v>
      </c>
      <c r="H81" s="89">
        <v>60.29</v>
      </c>
      <c r="I81" s="87">
        <v>64.69</v>
      </c>
    </row>
    <row r="82" spans="1:9">
      <c r="A82" s="89">
        <v>0.01</v>
      </c>
      <c r="B82" s="89">
        <v>0.01</v>
      </c>
      <c r="C82" s="89">
        <v>7.9080000000000004</v>
      </c>
      <c r="D82" s="89">
        <v>41.04</v>
      </c>
      <c r="E82" s="89">
        <v>74.489999999999995</v>
      </c>
      <c r="F82" s="89">
        <v>71.010000000000005</v>
      </c>
      <c r="G82" s="89">
        <v>76.39</v>
      </c>
      <c r="H82" s="89">
        <v>65.7</v>
      </c>
      <c r="I82" s="87">
        <v>65.73</v>
      </c>
    </row>
    <row r="83" spans="1:9">
      <c r="A83" s="89">
        <v>0.01</v>
      </c>
      <c r="B83" s="89">
        <v>0.02</v>
      </c>
      <c r="C83" s="89">
        <v>7.875</v>
      </c>
      <c r="D83" s="89">
        <v>40.53</v>
      </c>
      <c r="E83" s="89">
        <v>74.2</v>
      </c>
      <c r="F83" s="89">
        <v>72.599999999999994</v>
      </c>
      <c r="G83" s="89">
        <v>76.28</v>
      </c>
      <c r="H83" s="89">
        <v>64.260000000000005</v>
      </c>
      <c r="I83" s="87">
        <v>65.569999999999993</v>
      </c>
    </row>
    <row r="84" spans="1:9">
      <c r="A84" s="89">
        <v>0.01</v>
      </c>
      <c r="B84" s="89">
        <v>0.03</v>
      </c>
      <c r="C84" s="89">
        <v>7.8449999999999998</v>
      </c>
      <c r="D84" s="89">
        <v>41.04</v>
      </c>
      <c r="E84" s="89">
        <v>74.2</v>
      </c>
      <c r="F84" s="89">
        <v>70.61</v>
      </c>
      <c r="G84" s="89">
        <v>76.28</v>
      </c>
      <c r="H84" s="89">
        <v>57.4</v>
      </c>
      <c r="I84" s="87">
        <v>63.91</v>
      </c>
    </row>
    <row r="85" spans="1:9">
      <c r="A85" s="89">
        <v>0.01</v>
      </c>
      <c r="B85" s="89">
        <v>0.04</v>
      </c>
      <c r="C85" s="89">
        <v>7.859</v>
      </c>
      <c r="D85" s="89">
        <v>41.64</v>
      </c>
      <c r="E85" s="89">
        <v>74.75</v>
      </c>
      <c r="F85" s="89">
        <v>69.02</v>
      </c>
      <c r="G85" s="89">
        <v>76.66</v>
      </c>
      <c r="H85" s="89">
        <v>58.84</v>
      </c>
      <c r="I85" s="87">
        <v>64.180000000000007</v>
      </c>
    </row>
    <row r="86" spans="1:9">
      <c r="A86" s="89">
        <v>0.01</v>
      </c>
      <c r="B86" s="89">
        <v>0.05</v>
      </c>
      <c r="C86" s="89">
        <v>7.8680000000000003</v>
      </c>
      <c r="D86" s="89">
        <v>41.3</v>
      </c>
      <c r="E86" s="89">
        <v>74.66</v>
      </c>
      <c r="F86" s="89">
        <v>70.64</v>
      </c>
      <c r="G86" s="89">
        <v>76.33</v>
      </c>
      <c r="H86" s="89">
        <v>56.68</v>
      </c>
      <c r="I86" s="87">
        <v>63.92</v>
      </c>
    </row>
    <row r="87" spans="1:9">
      <c r="A87" s="89">
        <v>0.02</v>
      </c>
      <c r="B87" s="89">
        <v>0.01</v>
      </c>
      <c r="C87" s="89">
        <v>7.8959999999999999</v>
      </c>
      <c r="D87" s="89">
        <v>40.53</v>
      </c>
      <c r="E87" s="89">
        <v>74.959999999999994</v>
      </c>
      <c r="F87" s="89">
        <v>72.45</v>
      </c>
      <c r="G87" s="89">
        <v>76.44</v>
      </c>
      <c r="H87" s="89">
        <v>62.82</v>
      </c>
      <c r="I87" s="87">
        <v>65.44</v>
      </c>
    </row>
    <row r="88" spans="1:9">
      <c r="A88" s="89">
        <v>0.02</v>
      </c>
      <c r="B88" s="89">
        <v>0.02</v>
      </c>
      <c r="C88" s="89">
        <v>7.8609999999999998</v>
      </c>
      <c r="D88" s="89">
        <v>40.36</v>
      </c>
      <c r="E88" s="89">
        <v>74.489999999999995</v>
      </c>
      <c r="F88" s="89">
        <v>69.69</v>
      </c>
      <c r="G88" s="89">
        <v>76.33</v>
      </c>
      <c r="H88" s="89">
        <v>61.01</v>
      </c>
      <c r="I88" s="87">
        <v>64.38</v>
      </c>
    </row>
    <row r="89" spans="1:9">
      <c r="A89" s="89">
        <v>0.02</v>
      </c>
      <c r="B89" s="89">
        <v>0.03</v>
      </c>
      <c r="C89" s="89">
        <v>7.8689999999999998</v>
      </c>
      <c r="D89" s="89">
        <v>40.700000000000003</v>
      </c>
      <c r="E89" s="89">
        <v>74.790000000000006</v>
      </c>
      <c r="F89" s="89">
        <v>70.83</v>
      </c>
      <c r="G89" s="89">
        <v>76.66</v>
      </c>
      <c r="H89" s="89">
        <v>59.93</v>
      </c>
      <c r="I89" s="87">
        <v>64.58</v>
      </c>
    </row>
    <row r="90" spans="1:9">
      <c r="A90" s="89">
        <v>0.02</v>
      </c>
      <c r="B90" s="89">
        <v>0.04</v>
      </c>
      <c r="C90" s="89">
        <v>7.8570000000000002</v>
      </c>
      <c r="D90" s="89">
        <v>40.700000000000003</v>
      </c>
      <c r="E90" s="89">
        <v>74.709999999999994</v>
      </c>
      <c r="F90" s="89">
        <v>71.010000000000005</v>
      </c>
      <c r="G90" s="89">
        <v>76.06</v>
      </c>
      <c r="H90" s="89">
        <v>57.4</v>
      </c>
      <c r="I90" s="87">
        <v>63.98</v>
      </c>
    </row>
    <row r="91" spans="1:9">
      <c r="A91" s="89">
        <v>0.02</v>
      </c>
      <c r="B91" s="89">
        <v>0.05</v>
      </c>
      <c r="C91" s="89">
        <v>7.87</v>
      </c>
      <c r="D91" s="89">
        <v>41.55</v>
      </c>
      <c r="E91" s="89">
        <v>74.790000000000006</v>
      </c>
      <c r="F91" s="89">
        <v>70.209999999999994</v>
      </c>
      <c r="G91" s="89">
        <v>76.44</v>
      </c>
      <c r="H91" s="89">
        <v>61.01</v>
      </c>
      <c r="I91" s="87">
        <v>64.8</v>
      </c>
    </row>
    <row r="92" spans="1:9">
      <c r="A92" s="89">
        <v>0.03</v>
      </c>
      <c r="B92" s="89">
        <v>0.01</v>
      </c>
      <c r="C92" s="89">
        <v>7.9039999999999999</v>
      </c>
      <c r="D92" s="89">
        <v>40.700000000000003</v>
      </c>
      <c r="E92" s="89">
        <v>75.13</v>
      </c>
      <c r="F92" s="89">
        <v>69.569999999999993</v>
      </c>
      <c r="G92" s="89">
        <v>76.33</v>
      </c>
      <c r="H92" s="89">
        <v>61.37</v>
      </c>
      <c r="I92" s="87">
        <v>64.62</v>
      </c>
    </row>
    <row r="93" spans="1:9">
      <c r="A93" s="89">
        <v>0.03</v>
      </c>
      <c r="B93" s="89">
        <v>0.02</v>
      </c>
      <c r="C93" s="89">
        <v>7.8689999999999998</v>
      </c>
      <c r="D93" s="89">
        <v>40.61</v>
      </c>
      <c r="E93" s="89">
        <v>74.37</v>
      </c>
      <c r="F93" s="89">
        <v>72.84</v>
      </c>
      <c r="G93" s="89">
        <v>76.17</v>
      </c>
      <c r="H93" s="89">
        <v>63.18</v>
      </c>
      <c r="I93" s="87">
        <v>65.430000000000007</v>
      </c>
    </row>
    <row r="94" spans="1:9">
      <c r="A94" s="89">
        <v>0.03</v>
      </c>
      <c r="B94" s="89">
        <v>0.03</v>
      </c>
      <c r="C94" s="89">
        <v>7.867</v>
      </c>
      <c r="D94" s="89">
        <v>40.19</v>
      </c>
      <c r="E94" s="89">
        <v>74.03</v>
      </c>
      <c r="F94" s="89">
        <v>70.239999999999995</v>
      </c>
      <c r="G94" s="89">
        <v>76.44</v>
      </c>
      <c r="H94" s="89">
        <v>57.4</v>
      </c>
      <c r="I94" s="87">
        <v>63.66</v>
      </c>
    </row>
    <row r="95" spans="1:9">
      <c r="A95" s="89">
        <v>0.03</v>
      </c>
      <c r="B95" s="89">
        <v>0.04</v>
      </c>
      <c r="C95" s="89">
        <v>7.88</v>
      </c>
      <c r="D95" s="89">
        <v>41.13</v>
      </c>
      <c r="E95" s="89">
        <v>74.2</v>
      </c>
      <c r="F95" s="89">
        <v>71.680000000000007</v>
      </c>
      <c r="G95" s="89">
        <v>76.28</v>
      </c>
      <c r="H95" s="89">
        <v>64.260000000000005</v>
      </c>
      <c r="I95" s="87">
        <v>65.510000000000005</v>
      </c>
    </row>
    <row r="96" spans="1:9">
      <c r="A96" s="89">
        <v>0.03</v>
      </c>
      <c r="B96" s="89">
        <v>0.05</v>
      </c>
      <c r="C96" s="89">
        <v>7.8730000000000002</v>
      </c>
      <c r="D96" s="89">
        <v>40.78</v>
      </c>
      <c r="E96" s="89">
        <v>74.16</v>
      </c>
      <c r="F96" s="89">
        <v>70.430000000000007</v>
      </c>
      <c r="G96" s="89">
        <v>75.84</v>
      </c>
      <c r="H96" s="89">
        <v>62.09</v>
      </c>
      <c r="I96" s="87">
        <v>64.66</v>
      </c>
    </row>
    <row r="97" spans="1:9">
      <c r="A97" s="89">
        <v>0.04</v>
      </c>
      <c r="B97" s="89">
        <v>0.01</v>
      </c>
      <c r="C97" s="89">
        <v>7.9130000000000003</v>
      </c>
      <c r="D97" s="89">
        <v>40.78</v>
      </c>
      <c r="E97" s="89">
        <v>74.959999999999994</v>
      </c>
      <c r="F97" s="89">
        <v>69.45</v>
      </c>
      <c r="G97" s="89">
        <v>76.61</v>
      </c>
      <c r="H97" s="89">
        <v>62.09</v>
      </c>
      <c r="I97" s="87">
        <v>64.78</v>
      </c>
    </row>
    <row r="98" spans="1:9">
      <c r="A98" s="89">
        <v>0.04</v>
      </c>
      <c r="B98" s="89">
        <v>0.02</v>
      </c>
      <c r="C98" s="89">
        <v>7.8680000000000003</v>
      </c>
      <c r="D98" s="89">
        <v>40.869999999999997</v>
      </c>
      <c r="E98" s="89">
        <v>74.75</v>
      </c>
      <c r="F98" s="89">
        <v>71.25</v>
      </c>
      <c r="G98" s="89">
        <v>76.22</v>
      </c>
      <c r="H98" s="89">
        <v>58.12</v>
      </c>
      <c r="I98" s="87">
        <v>64.239999999999995</v>
      </c>
    </row>
    <row r="99" spans="1:9">
      <c r="A99" s="89">
        <v>0.04</v>
      </c>
      <c r="B99" s="89">
        <v>0.03</v>
      </c>
      <c r="C99" s="89">
        <v>7.8620000000000001</v>
      </c>
      <c r="D99" s="89">
        <v>40.869999999999997</v>
      </c>
      <c r="E99" s="89">
        <v>74.790000000000006</v>
      </c>
      <c r="F99" s="89">
        <v>70.7</v>
      </c>
      <c r="G99" s="89">
        <v>76.39</v>
      </c>
      <c r="H99" s="89">
        <v>57.76</v>
      </c>
      <c r="I99" s="87">
        <v>64.099999999999994</v>
      </c>
    </row>
    <row r="100" spans="1:9">
      <c r="A100" s="89">
        <v>0.04</v>
      </c>
      <c r="B100" s="89">
        <v>0.04</v>
      </c>
      <c r="C100" s="89">
        <v>7.8710000000000004</v>
      </c>
      <c r="D100" s="89">
        <v>40.44</v>
      </c>
      <c r="E100" s="89">
        <v>74.239999999999995</v>
      </c>
      <c r="F100" s="89">
        <v>74.040000000000006</v>
      </c>
      <c r="G100" s="89">
        <v>76.44</v>
      </c>
      <c r="H100" s="89">
        <v>59.21</v>
      </c>
      <c r="I100" s="87">
        <v>64.87</v>
      </c>
    </row>
    <row r="101" spans="1:9">
      <c r="A101" s="89">
        <v>0.04</v>
      </c>
      <c r="B101" s="89">
        <v>0.05</v>
      </c>
      <c r="C101" s="89">
        <v>7.8730000000000002</v>
      </c>
      <c r="D101" s="89">
        <v>40.53</v>
      </c>
      <c r="E101" s="89">
        <v>74.709999999999994</v>
      </c>
      <c r="F101" s="89">
        <v>69.97</v>
      </c>
      <c r="G101" s="89">
        <v>75.84</v>
      </c>
      <c r="H101" s="89">
        <v>59.21</v>
      </c>
      <c r="I101" s="87">
        <v>64.05</v>
      </c>
    </row>
    <row r="102" spans="1:9">
      <c r="A102" s="89">
        <v>0.05</v>
      </c>
      <c r="B102" s="89">
        <v>0.01</v>
      </c>
      <c r="C102" s="89">
        <v>7.9039999999999999</v>
      </c>
      <c r="D102" s="89">
        <v>40.270000000000003</v>
      </c>
      <c r="E102" s="89">
        <v>74.239999999999995</v>
      </c>
      <c r="F102" s="89">
        <v>70.459999999999994</v>
      </c>
      <c r="G102" s="89">
        <v>76.33</v>
      </c>
      <c r="H102" s="89">
        <v>63.9</v>
      </c>
      <c r="I102" s="87">
        <v>65.040000000000006</v>
      </c>
    </row>
    <row r="103" spans="1:9">
      <c r="A103" s="89">
        <v>0.05</v>
      </c>
      <c r="B103" s="89">
        <v>0.02</v>
      </c>
      <c r="C103" s="89">
        <v>7.867</v>
      </c>
      <c r="D103" s="89">
        <v>40.19</v>
      </c>
      <c r="E103" s="89">
        <v>74.92</v>
      </c>
      <c r="F103" s="89">
        <v>70.150000000000006</v>
      </c>
      <c r="G103" s="89">
        <v>76.12</v>
      </c>
      <c r="H103" s="89">
        <v>59.21</v>
      </c>
      <c r="I103" s="87">
        <v>64.12</v>
      </c>
    </row>
    <row r="104" spans="1:9">
      <c r="A104" s="89">
        <v>0.05</v>
      </c>
      <c r="B104" s="89">
        <v>0.03</v>
      </c>
      <c r="C104" s="89">
        <v>7.8620000000000001</v>
      </c>
      <c r="D104" s="89">
        <v>40.78</v>
      </c>
      <c r="E104" s="89">
        <v>74.45</v>
      </c>
      <c r="F104" s="89">
        <v>73.03</v>
      </c>
      <c r="G104" s="89">
        <v>76.22</v>
      </c>
      <c r="H104" s="89">
        <v>64.98</v>
      </c>
      <c r="I104" s="87">
        <v>65.89</v>
      </c>
    </row>
    <row r="105" spans="1:9">
      <c r="A105" s="89">
        <v>0.05</v>
      </c>
      <c r="B105" s="89">
        <v>0.04</v>
      </c>
      <c r="C105" s="89">
        <v>7.8449999999999998</v>
      </c>
      <c r="D105" s="89">
        <v>41.13</v>
      </c>
      <c r="E105" s="89">
        <v>74.45</v>
      </c>
      <c r="F105" s="89">
        <v>70.67</v>
      </c>
      <c r="G105" s="89">
        <v>76.010000000000005</v>
      </c>
      <c r="H105" s="89">
        <v>59.93</v>
      </c>
      <c r="I105" s="87">
        <v>64.44</v>
      </c>
    </row>
    <row r="106" spans="1:9">
      <c r="A106" s="89">
        <v>0.05</v>
      </c>
      <c r="B106" s="89">
        <v>0.05</v>
      </c>
      <c r="C106" s="89">
        <v>7.8789999999999996</v>
      </c>
      <c r="D106" s="89">
        <v>40.36</v>
      </c>
      <c r="E106" s="89">
        <v>74.16</v>
      </c>
      <c r="F106" s="89">
        <v>73.33</v>
      </c>
      <c r="G106" s="89">
        <v>75.95</v>
      </c>
      <c r="H106" s="89">
        <v>61.73</v>
      </c>
      <c r="I106" s="87">
        <v>65.11</v>
      </c>
    </row>
    <row r="107" spans="1:9">
      <c r="A107" s="10"/>
      <c r="B107" s="10"/>
      <c r="C107" s="10"/>
      <c r="D107" s="10"/>
      <c r="E107" s="10"/>
      <c r="F107" s="10"/>
      <c r="G107" s="10"/>
      <c r="H107" s="10"/>
      <c r="I107" s="10"/>
    </row>
    <row r="108" spans="1:9">
      <c r="A108" s="10"/>
      <c r="B108" s="10"/>
      <c r="C108" s="10"/>
      <c r="D108" s="10"/>
      <c r="E108" s="10"/>
      <c r="F108" s="10"/>
      <c r="G108" s="10"/>
      <c r="H108" s="10"/>
      <c r="I108" s="10"/>
    </row>
    <row r="109" spans="1:9">
      <c r="A109" s="314" t="s">
        <v>204</v>
      </c>
      <c r="B109" s="315"/>
      <c r="C109" s="315"/>
      <c r="D109" s="315"/>
      <c r="E109" s="315"/>
      <c r="F109" s="315"/>
      <c r="G109" s="315"/>
      <c r="H109" s="315"/>
      <c r="I109" s="315"/>
    </row>
    <row r="110" spans="1:9">
      <c r="A110" s="87" t="s">
        <v>160</v>
      </c>
      <c r="B110" s="87" t="s">
        <v>161</v>
      </c>
      <c r="C110" s="87" t="s">
        <v>197</v>
      </c>
      <c r="D110" s="87" t="s">
        <v>4</v>
      </c>
      <c r="E110" s="87" t="s">
        <v>5</v>
      </c>
      <c r="F110" s="87" t="s">
        <v>6</v>
      </c>
      <c r="G110" s="87" t="s">
        <v>10</v>
      </c>
      <c r="H110" s="87" t="s">
        <v>11</v>
      </c>
      <c r="I110" s="87" t="s">
        <v>198</v>
      </c>
    </row>
    <row r="111" spans="1:9">
      <c r="A111" s="88" t="s">
        <v>199</v>
      </c>
      <c r="B111" s="89" t="s">
        <v>200</v>
      </c>
      <c r="C111" s="89">
        <v>5.4420000000000002</v>
      </c>
      <c r="D111" s="89">
        <v>50.26</v>
      </c>
      <c r="E111" s="89">
        <v>80.09</v>
      </c>
      <c r="F111" s="89">
        <v>81.349999999999994</v>
      </c>
      <c r="G111" s="89">
        <v>79.709999999999994</v>
      </c>
      <c r="H111" s="89">
        <v>69.680000000000007</v>
      </c>
      <c r="I111" s="87">
        <v>72.22</v>
      </c>
    </row>
    <row r="112" spans="1:9">
      <c r="A112" s="88" t="s">
        <v>201</v>
      </c>
      <c r="B112" s="89" t="s">
        <v>200</v>
      </c>
      <c r="C112" s="89">
        <v>8.1509999999999998</v>
      </c>
      <c r="D112" s="89">
        <v>39.42</v>
      </c>
      <c r="E112" s="89">
        <v>69.78</v>
      </c>
      <c r="F112" s="89">
        <v>74.5</v>
      </c>
      <c r="G112" s="89">
        <v>75.95</v>
      </c>
      <c r="H112" s="89">
        <v>61.37</v>
      </c>
      <c r="I112" s="87">
        <v>64.2</v>
      </c>
    </row>
    <row r="113" spans="1:26">
      <c r="A113" s="89">
        <v>0</v>
      </c>
      <c r="B113" s="89">
        <v>0.01</v>
      </c>
      <c r="C113" s="89">
        <v>8.0039999999999996</v>
      </c>
      <c r="D113" s="89">
        <v>40.36</v>
      </c>
      <c r="E113" s="89">
        <v>69.989999999999995</v>
      </c>
      <c r="F113" s="89">
        <v>75.05</v>
      </c>
      <c r="G113" s="89">
        <v>76.61</v>
      </c>
      <c r="H113" s="89">
        <v>61.37</v>
      </c>
      <c r="I113" s="87">
        <v>64.67</v>
      </c>
    </row>
    <row r="114" spans="1:26">
      <c r="A114" s="89">
        <v>0</v>
      </c>
      <c r="B114" s="89">
        <v>0.02</v>
      </c>
      <c r="C114" s="89">
        <v>7.9770000000000003</v>
      </c>
      <c r="D114" s="89">
        <v>39.33</v>
      </c>
      <c r="E114" s="89">
        <v>70.45</v>
      </c>
      <c r="F114" s="89">
        <v>72.81</v>
      </c>
      <c r="G114" s="89">
        <v>76.12</v>
      </c>
      <c r="H114" s="89">
        <v>61.01</v>
      </c>
      <c r="I114" s="87">
        <v>63.95</v>
      </c>
    </row>
    <row r="115" spans="1:26">
      <c r="A115" s="89">
        <v>0</v>
      </c>
      <c r="B115" s="89">
        <v>0.03</v>
      </c>
      <c r="C115" s="89">
        <v>7.9690000000000003</v>
      </c>
      <c r="D115" s="89">
        <v>39.76</v>
      </c>
      <c r="E115" s="89">
        <v>70.75</v>
      </c>
      <c r="F115" s="89">
        <v>74.5</v>
      </c>
      <c r="G115" s="89">
        <v>75.41</v>
      </c>
      <c r="H115" s="89">
        <v>62.09</v>
      </c>
      <c r="I115" s="87">
        <v>64.5</v>
      </c>
    </row>
    <row r="116" spans="1:26">
      <c r="A116" s="89">
        <v>0</v>
      </c>
      <c r="B116" s="89">
        <v>0.04</v>
      </c>
      <c r="C116" s="89">
        <v>7.9560000000000004</v>
      </c>
      <c r="D116" s="89">
        <v>38.57</v>
      </c>
      <c r="E116" s="89">
        <v>69.739999999999995</v>
      </c>
      <c r="F116" s="89">
        <v>74.430000000000007</v>
      </c>
      <c r="G116" s="89">
        <v>76.12</v>
      </c>
      <c r="H116" s="89">
        <v>61.01</v>
      </c>
      <c r="I116" s="87">
        <v>63.97</v>
      </c>
    </row>
    <row r="117" spans="1:26">
      <c r="A117" s="89">
        <v>0</v>
      </c>
      <c r="B117" s="89">
        <v>0.05</v>
      </c>
      <c r="C117" s="89">
        <v>7.9649999999999999</v>
      </c>
      <c r="D117" s="89">
        <v>38.65</v>
      </c>
      <c r="E117" s="89">
        <v>69.95</v>
      </c>
      <c r="F117" s="89">
        <v>73.39</v>
      </c>
      <c r="G117" s="89">
        <v>75.63</v>
      </c>
      <c r="H117" s="89">
        <v>60.65</v>
      </c>
      <c r="I117" s="87">
        <v>63.65</v>
      </c>
    </row>
    <row r="118" spans="1:26">
      <c r="A118" s="90">
        <v>0.01</v>
      </c>
      <c r="B118" s="90">
        <v>0.01</v>
      </c>
      <c r="C118" s="90">
        <v>7.9980000000000002</v>
      </c>
      <c r="D118" s="90">
        <v>40.869999999999997</v>
      </c>
      <c r="E118" s="90">
        <v>71</v>
      </c>
      <c r="F118" s="90">
        <v>73.3</v>
      </c>
      <c r="G118" s="90">
        <v>76.44</v>
      </c>
      <c r="H118" s="90">
        <v>61.73</v>
      </c>
      <c r="I118" s="91">
        <v>64.67</v>
      </c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 spans="1:26">
      <c r="A119" s="89">
        <v>0.01</v>
      </c>
      <c r="B119" s="89">
        <v>0.02</v>
      </c>
      <c r="C119" s="89">
        <v>7.9669999999999996</v>
      </c>
      <c r="D119" s="89">
        <v>41.21</v>
      </c>
      <c r="E119" s="89">
        <v>70.5</v>
      </c>
      <c r="F119" s="89">
        <v>73.790000000000006</v>
      </c>
      <c r="G119" s="89">
        <v>75.790000000000006</v>
      </c>
      <c r="H119" s="89">
        <v>60.65</v>
      </c>
      <c r="I119" s="87">
        <v>64.39</v>
      </c>
    </row>
    <row r="120" spans="1:26">
      <c r="A120" s="89">
        <v>0.01</v>
      </c>
      <c r="B120" s="89">
        <v>0.03</v>
      </c>
      <c r="C120" s="89">
        <v>7.9450000000000003</v>
      </c>
      <c r="D120" s="89">
        <v>40.1</v>
      </c>
      <c r="E120" s="89">
        <v>69.95</v>
      </c>
      <c r="F120" s="89">
        <v>74.59</v>
      </c>
      <c r="G120" s="89">
        <v>75.900000000000006</v>
      </c>
      <c r="H120" s="89">
        <v>58.84</v>
      </c>
      <c r="I120" s="87">
        <v>63.88</v>
      </c>
    </row>
    <row r="121" spans="1:26">
      <c r="A121" s="89">
        <v>0.01</v>
      </c>
      <c r="B121" s="89">
        <v>0.04</v>
      </c>
      <c r="C121" s="89">
        <v>7.9539999999999997</v>
      </c>
      <c r="D121" s="89">
        <v>38.82</v>
      </c>
      <c r="E121" s="89">
        <v>69.36</v>
      </c>
      <c r="F121" s="89">
        <v>74.31</v>
      </c>
      <c r="G121" s="89">
        <v>75.790000000000006</v>
      </c>
      <c r="H121" s="89">
        <v>61.73</v>
      </c>
      <c r="I121" s="87">
        <v>64</v>
      </c>
    </row>
    <row r="122" spans="1:26">
      <c r="A122" s="89">
        <v>0.01</v>
      </c>
      <c r="B122" s="89">
        <v>0.05</v>
      </c>
      <c r="C122" s="89">
        <v>7.9740000000000002</v>
      </c>
      <c r="D122" s="89">
        <v>38.82</v>
      </c>
      <c r="E122" s="89">
        <v>70.290000000000006</v>
      </c>
      <c r="F122" s="89">
        <v>74.010000000000005</v>
      </c>
      <c r="G122" s="89">
        <v>76.17</v>
      </c>
      <c r="H122" s="89">
        <v>61.01</v>
      </c>
      <c r="I122" s="87">
        <v>64.06</v>
      </c>
    </row>
    <row r="123" spans="1:26">
      <c r="A123" s="89">
        <v>0.02</v>
      </c>
      <c r="B123" s="89">
        <v>0.01</v>
      </c>
      <c r="C123" s="89">
        <v>7.9950000000000001</v>
      </c>
      <c r="D123" s="89">
        <v>39.85</v>
      </c>
      <c r="E123" s="89">
        <v>70.37</v>
      </c>
      <c r="F123" s="89">
        <v>73.489999999999995</v>
      </c>
      <c r="G123" s="89">
        <v>76.66</v>
      </c>
      <c r="H123" s="89">
        <v>61.01</v>
      </c>
      <c r="I123" s="87">
        <v>64.27</v>
      </c>
    </row>
    <row r="124" spans="1:26">
      <c r="A124" s="89">
        <v>0.02</v>
      </c>
      <c r="B124" s="89">
        <v>0.02</v>
      </c>
      <c r="C124" s="89">
        <v>7.9749999999999996</v>
      </c>
      <c r="D124" s="89">
        <v>39.590000000000003</v>
      </c>
      <c r="E124" s="89">
        <v>69.7</v>
      </c>
      <c r="F124" s="89">
        <v>73.64</v>
      </c>
      <c r="G124" s="89">
        <v>76.44</v>
      </c>
      <c r="H124" s="89">
        <v>59.93</v>
      </c>
      <c r="I124" s="87">
        <v>63.86</v>
      </c>
    </row>
    <row r="125" spans="1:26">
      <c r="A125" s="89">
        <v>0.02</v>
      </c>
      <c r="B125" s="89">
        <v>0.03</v>
      </c>
      <c r="C125" s="89">
        <v>7.9539999999999997</v>
      </c>
      <c r="D125" s="89">
        <v>38.99</v>
      </c>
      <c r="E125" s="89">
        <v>69.87</v>
      </c>
      <c r="F125" s="89">
        <v>73.7</v>
      </c>
      <c r="G125" s="89">
        <v>76.44</v>
      </c>
      <c r="H125" s="89">
        <v>58.48</v>
      </c>
      <c r="I125" s="87">
        <v>63.5</v>
      </c>
    </row>
    <row r="126" spans="1:26">
      <c r="A126" s="89">
        <v>0.02</v>
      </c>
      <c r="B126" s="89">
        <v>0.04</v>
      </c>
      <c r="C126" s="89">
        <v>7.9619999999999997</v>
      </c>
      <c r="D126" s="89">
        <v>38.57</v>
      </c>
      <c r="E126" s="89">
        <v>69.87</v>
      </c>
      <c r="F126" s="89">
        <v>74.16</v>
      </c>
      <c r="G126" s="89">
        <v>76.28</v>
      </c>
      <c r="H126" s="89">
        <v>61.01</v>
      </c>
      <c r="I126" s="87">
        <v>63.98</v>
      </c>
    </row>
    <row r="127" spans="1:26">
      <c r="A127" s="89">
        <v>0.02</v>
      </c>
      <c r="B127" s="89">
        <v>0.05</v>
      </c>
      <c r="C127" s="89">
        <v>7.9569999999999999</v>
      </c>
      <c r="D127" s="89">
        <v>38.57</v>
      </c>
      <c r="E127" s="89">
        <v>69.87</v>
      </c>
      <c r="F127" s="89">
        <v>72.63</v>
      </c>
      <c r="G127" s="89">
        <v>76.22</v>
      </c>
      <c r="H127" s="89">
        <v>60.29</v>
      </c>
      <c r="I127" s="87">
        <v>63.51</v>
      </c>
    </row>
    <row r="128" spans="1:26">
      <c r="A128" s="89">
        <v>0.03</v>
      </c>
      <c r="B128" s="89">
        <v>0.01</v>
      </c>
      <c r="C128" s="89">
        <v>8.0090000000000003</v>
      </c>
      <c r="D128" s="89">
        <v>39.68</v>
      </c>
      <c r="E128" s="89">
        <v>70.58</v>
      </c>
      <c r="F128" s="89">
        <v>74.16</v>
      </c>
      <c r="G128" s="89">
        <v>75.95</v>
      </c>
      <c r="H128" s="89">
        <v>61.73</v>
      </c>
      <c r="I128" s="87">
        <v>64.42</v>
      </c>
    </row>
    <row r="129" spans="1:9">
      <c r="A129" s="89">
        <v>0.03</v>
      </c>
      <c r="B129" s="89">
        <v>0.02</v>
      </c>
      <c r="C129" s="89">
        <v>7.9630000000000001</v>
      </c>
      <c r="D129" s="89">
        <v>40.19</v>
      </c>
      <c r="E129" s="89">
        <v>69.61</v>
      </c>
      <c r="F129" s="89">
        <v>73.239999999999995</v>
      </c>
      <c r="G129" s="89">
        <v>76.28</v>
      </c>
      <c r="H129" s="89">
        <v>59.21</v>
      </c>
      <c r="I129" s="87">
        <v>63.71</v>
      </c>
    </row>
    <row r="130" spans="1:9">
      <c r="A130" s="89">
        <v>0.03</v>
      </c>
      <c r="B130" s="89">
        <v>0.03</v>
      </c>
      <c r="C130" s="89">
        <v>7.9669999999999996</v>
      </c>
      <c r="D130" s="89">
        <v>39.85</v>
      </c>
      <c r="E130" s="89">
        <v>69.569999999999993</v>
      </c>
      <c r="F130" s="89">
        <v>73.459999999999994</v>
      </c>
      <c r="G130" s="89">
        <v>75.790000000000006</v>
      </c>
      <c r="H130" s="89">
        <v>61.01</v>
      </c>
      <c r="I130" s="87">
        <v>63.93</v>
      </c>
    </row>
    <row r="131" spans="1:9">
      <c r="A131" s="89">
        <v>0.03</v>
      </c>
      <c r="B131" s="89">
        <v>0.04</v>
      </c>
      <c r="C131" s="89">
        <v>7.968</v>
      </c>
      <c r="D131" s="89">
        <v>39.33</v>
      </c>
      <c r="E131" s="89">
        <v>70.290000000000006</v>
      </c>
      <c r="F131" s="89">
        <v>73.150000000000006</v>
      </c>
      <c r="G131" s="89">
        <v>75.95</v>
      </c>
      <c r="H131" s="89">
        <v>58.48</v>
      </c>
      <c r="I131" s="87">
        <v>63.44</v>
      </c>
    </row>
    <row r="132" spans="1:9">
      <c r="A132" s="89">
        <v>0.03</v>
      </c>
      <c r="B132" s="89">
        <v>0.05</v>
      </c>
      <c r="C132" s="89">
        <v>7.9589999999999996</v>
      </c>
      <c r="D132" s="89">
        <v>38.57</v>
      </c>
      <c r="E132" s="89">
        <v>70.03</v>
      </c>
      <c r="F132" s="89">
        <v>73.52</v>
      </c>
      <c r="G132" s="89">
        <v>75.41</v>
      </c>
      <c r="H132" s="89">
        <v>60.65</v>
      </c>
      <c r="I132" s="87">
        <v>63.63</v>
      </c>
    </row>
    <row r="133" spans="1:9">
      <c r="A133" s="89">
        <v>0.04</v>
      </c>
      <c r="B133" s="89">
        <v>0.01</v>
      </c>
      <c r="C133" s="89">
        <v>8.0150000000000006</v>
      </c>
      <c r="D133" s="89">
        <v>40.36</v>
      </c>
      <c r="E133" s="89">
        <v>70.41</v>
      </c>
      <c r="F133" s="89">
        <v>73.489999999999995</v>
      </c>
      <c r="G133" s="89">
        <v>75.790000000000006</v>
      </c>
      <c r="H133" s="89">
        <v>61.73</v>
      </c>
      <c r="I133" s="87">
        <v>64.36</v>
      </c>
    </row>
    <row r="134" spans="1:9">
      <c r="A134" s="89">
        <v>0.04</v>
      </c>
      <c r="B134" s="89">
        <v>0.02</v>
      </c>
      <c r="C134" s="89">
        <v>7.9640000000000004</v>
      </c>
      <c r="D134" s="89">
        <v>39.25</v>
      </c>
      <c r="E134" s="89">
        <v>69.61</v>
      </c>
      <c r="F134" s="89">
        <v>73.760000000000005</v>
      </c>
      <c r="G134" s="89">
        <v>76.06</v>
      </c>
      <c r="H134" s="89">
        <v>61.37</v>
      </c>
      <c r="I134" s="87">
        <v>64.010000000000005</v>
      </c>
    </row>
    <row r="135" spans="1:9">
      <c r="A135" s="89">
        <v>0.04</v>
      </c>
      <c r="B135" s="89">
        <v>0.03</v>
      </c>
      <c r="C135" s="89">
        <v>7.9489999999999998</v>
      </c>
      <c r="D135" s="89">
        <v>39.33</v>
      </c>
      <c r="E135" s="89">
        <v>70.33</v>
      </c>
      <c r="F135" s="89">
        <v>73.88</v>
      </c>
      <c r="G135" s="89">
        <v>75.95</v>
      </c>
      <c r="H135" s="89">
        <v>59.57</v>
      </c>
      <c r="I135" s="87">
        <v>63.81</v>
      </c>
    </row>
    <row r="136" spans="1:9">
      <c r="A136" s="89">
        <v>0.04</v>
      </c>
      <c r="B136" s="89">
        <v>0.04</v>
      </c>
      <c r="C136" s="89">
        <v>7.9569999999999999</v>
      </c>
      <c r="D136" s="89">
        <v>37.97</v>
      </c>
      <c r="E136" s="89">
        <v>69.650000000000006</v>
      </c>
      <c r="F136" s="89">
        <v>73.150000000000006</v>
      </c>
      <c r="G136" s="89">
        <v>75.680000000000007</v>
      </c>
      <c r="H136" s="89">
        <v>59.21</v>
      </c>
      <c r="I136" s="87">
        <v>63.13</v>
      </c>
    </row>
    <row r="137" spans="1:9">
      <c r="A137" s="89">
        <v>0.04</v>
      </c>
      <c r="B137" s="89">
        <v>0.05</v>
      </c>
      <c r="C137" s="89">
        <v>7.952</v>
      </c>
      <c r="D137" s="89">
        <v>38.049999999999997</v>
      </c>
      <c r="E137" s="89">
        <v>69.19</v>
      </c>
      <c r="F137" s="89">
        <v>73.39</v>
      </c>
      <c r="G137" s="89">
        <v>76.22</v>
      </c>
      <c r="H137" s="89">
        <v>59.57</v>
      </c>
      <c r="I137" s="87">
        <v>63.29</v>
      </c>
    </row>
    <row r="138" spans="1:9">
      <c r="A138" s="89">
        <v>0.05</v>
      </c>
      <c r="B138" s="89">
        <v>0.01</v>
      </c>
      <c r="C138" s="89">
        <v>8.0060000000000002</v>
      </c>
      <c r="D138" s="89">
        <v>40.020000000000003</v>
      </c>
      <c r="E138" s="89">
        <v>70.12</v>
      </c>
      <c r="F138" s="89">
        <v>73.36</v>
      </c>
      <c r="G138" s="89">
        <v>76.22</v>
      </c>
      <c r="H138" s="89">
        <v>61.37</v>
      </c>
      <c r="I138" s="87">
        <v>64.22</v>
      </c>
    </row>
    <row r="139" spans="1:9">
      <c r="A139" s="89">
        <v>0.05</v>
      </c>
      <c r="B139" s="89">
        <v>0.02</v>
      </c>
      <c r="C139" s="89">
        <v>7.9729999999999999</v>
      </c>
      <c r="D139" s="89">
        <v>39.76</v>
      </c>
      <c r="E139" s="89">
        <v>69.02</v>
      </c>
      <c r="F139" s="89">
        <v>74.069999999999993</v>
      </c>
      <c r="G139" s="89">
        <v>76.28</v>
      </c>
      <c r="H139" s="89">
        <v>59.21</v>
      </c>
      <c r="I139" s="87">
        <v>63.67</v>
      </c>
    </row>
    <row r="140" spans="1:9">
      <c r="A140" s="89">
        <v>0.05</v>
      </c>
      <c r="B140" s="89">
        <v>0.03</v>
      </c>
      <c r="C140" s="89">
        <v>7.9459999999999997</v>
      </c>
      <c r="D140" s="89">
        <v>38.479999999999997</v>
      </c>
      <c r="E140" s="89">
        <v>70.33</v>
      </c>
      <c r="F140" s="89">
        <v>73.73</v>
      </c>
      <c r="G140" s="89">
        <v>76.39</v>
      </c>
      <c r="H140" s="89">
        <v>59.21</v>
      </c>
      <c r="I140" s="87">
        <v>63.63</v>
      </c>
    </row>
    <row r="141" spans="1:9">
      <c r="A141" s="89">
        <v>0.05</v>
      </c>
      <c r="B141" s="89">
        <v>0.04</v>
      </c>
      <c r="C141" s="89">
        <v>7.9630000000000001</v>
      </c>
      <c r="D141" s="89">
        <v>38.57</v>
      </c>
      <c r="E141" s="89">
        <v>69.87</v>
      </c>
      <c r="F141" s="89">
        <v>73.52</v>
      </c>
      <c r="G141" s="89">
        <v>76.39</v>
      </c>
      <c r="H141" s="89">
        <v>59.93</v>
      </c>
      <c r="I141" s="87">
        <v>63.65</v>
      </c>
    </row>
    <row r="142" spans="1:9">
      <c r="A142" s="89">
        <v>0.05</v>
      </c>
      <c r="B142" s="89">
        <v>0.05</v>
      </c>
      <c r="C142" s="89">
        <v>7.96</v>
      </c>
      <c r="D142" s="89">
        <v>39.42</v>
      </c>
      <c r="E142" s="89">
        <v>69.650000000000006</v>
      </c>
      <c r="F142" s="89">
        <v>74.16</v>
      </c>
      <c r="G142" s="89">
        <v>76.5</v>
      </c>
      <c r="H142" s="89">
        <v>60.65</v>
      </c>
      <c r="I142" s="87">
        <v>64.08</v>
      </c>
    </row>
    <row r="143" spans="1:9">
      <c r="A143" s="10"/>
      <c r="B143" s="10"/>
      <c r="C143" s="10"/>
      <c r="D143" s="10"/>
      <c r="E143" s="10"/>
      <c r="F143" s="10"/>
      <c r="G143" s="10"/>
      <c r="H143" s="10"/>
      <c r="I143" s="10"/>
    </row>
    <row r="144" spans="1:9">
      <c r="A144" s="10"/>
      <c r="B144" s="10"/>
      <c r="C144" s="10"/>
      <c r="D144" s="10"/>
      <c r="E144" s="10"/>
      <c r="F144" s="10"/>
      <c r="G144" s="10"/>
      <c r="H144" s="10"/>
      <c r="I144" s="10"/>
    </row>
    <row r="145" spans="1:9">
      <c r="A145" s="95" t="s">
        <v>205</v>
      </c>
      <c r="B145" s="10"/>
      <c r="C145" s="10"/>
      <c r="D145" s="10"/>
      <c r="E145" s="10"/>
      <c r="F145" s="10"/>
      <c r="G145" s="10"/>
      <c r="H145" s="10"/>
      <c r="I145" s="10"/>
    </row>
  </sheetData>
  <mergeCells count="4">
    <mergeCell ref="A1:I1"/>
    <mergeCell ref="A37:I37"/>
    <mergeCell ref="A73:I73"/>
    <mergeCell ref="A109:I10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L1011"/>
  <sheetViews>
    <sheetView workbookViewId="0"/>
  </sheetViews>
  <sheetFormatPr defaultColWidth="12.6640625" defaultRowHeight="15.75" customHeight="1"/>
  <cols>
    <col min="2" max="2" width="28.33203125" customWidth="1"/>
    <col min="9" max="9" width="12.6640625" hidden="1"/>
  </cols>
  <sheetData>
    <row r="1" spans="1:12">
      <c r="A1" s="45" t="s">
        <v>206</v>
      </c>
      <c r="B1" s="45" t="s">
        <v>1</v>
      </c>
      <c r="C1" s="10"/>
      <c r="D1" s="10"/>
      <c r="E1" s="10"/>
      <c r="F1" s="10"/>
      <c r="G1" s="10"/>
      <c r="H1" s="10"/>
      <c r="I1" s="10"/>
      <c r="J1" s="10"/>
      <c r="K1" s="10"/>
    </row>
    <row r="2" spans="1:12">
      <c r="A2" s="10"/>
      <c r="B2" s="10"/>
      <c r="C2" s="45" t="s">
        <v>2</v>
      </c>
      <c r="D2" s="45" t="s">
        <v>3</v>
      </c>
      <c r="E2" s="10"/>
      <c r="F2" s="45" t="s">
        <v>4</v>
      </c>
      <c r="G2" s="45" t="s">
        <v>5</v>
      </c>
      <c r="H2" s="45" t="s">
        <v>6</v>
      </c>
      <c r="I2" s="45" t="s">
        <v>10</v>
      </c>
      <c r="J2" s="45" t="s">
        <v>11</v>
      </c>
      <c r="K2" s="45" t="s">
        <v>13</v>
      </c>
      <c r="L2" s="1" t="s">
        <v>13</v>
      </c>
    </row>
    <row r="3" spans="1:12">
      <c r="A3" s="10"/>
      <c r="B3" s="45" t="s">
        <v>14</v>
      </c>
      <c r="C3" s="11">
        <v>4.8449999999999998</v>
      </c>
      <c r="D3" s="11">
        <v>7.5350000000000001</v>
      </c>
      <c r="E3" s="10"/>
      <c r="F3" s="11">
        <v>0.50900000000000001</v>
      </c>
      <c r="G3" s="11">
        <v>0.80200000000000005</v>
      </c>
      <c r="H3" s="11">
        <v>0.83699999999999997</v>
      </c>
      <c r="I3" s="11">
        <v>0.8</v>
      </c>
      <c r="J3" s="11">
        <v>0.68600000000000005</v>
      </c>
      <c r="K3" s="11">
        <v>0.7268</v>
      </c>
      <c r="L3" s="1">
        <f>AVERAGE(F3,G3,H3,J3,K3)</f>
        <v>0.7121599999999999</v>
      </c>
    </row>
    <row r="4" spans="1:12">
      <c r="A4" s="45" t="s">
        <v>50</v>
      </c>
      <c r="B4" s="45" t="s">
        <v>207</v>
      </c>
      <c r="C4" s="11">
        <v>5.3860000000000001</v>
      </c>
      <c r="D4" s="11">
        <v>8.4</v>
      </c>
      <c r="E4" s="10"/>
      <c r="F4" s="11">
        <v>0.45400000000000001</v>
      </c>
      <c r="G4" s="11">
        <v>0.77700000000000002</v>
      </c>
      <c r="H4" s="11">
        <v>0.80200000000000005</v>
      </c>
      <c r="I4" s="11">
        <v>0.79200000000000004</v>
      </c>
      <c r="J4" s="11">
        <v>0.59599999999999997</v>
      </c>
      <c r="K4" s="11">
        <v>0.68400000000000005</v>
      </c>
    </row>
    <row r="5" spans="1:12">
      <c r="A5" s="10"/>
      <c r="B5" s="45" t="s">
        <v>208</v>
      </c>
      <c r="C5" s="11">
        <v>5.133</v>
      </c>
      <c r="D5" s="11">
        <v>7.9720000000000004</v>
      </c>
      <c r="E5" s="10"/>
      <c r="F5" s="11">
        <v>0.46100000000000002</v>
      </c>
      <c r="G5" s="11">
        <v>0.78100000000000003</v>
      </c>
      <c r="H5" s="11">
        <v>0.79100000000000004</v>
      </c>
      <c r="I5" s="11">
        <v>0.79500000000000004</v>
      </c>
      <c r="J5" s="11">
        <v>0.64300000000000002</v>
      </c>
      <c r="K5" s="11">
        <v>0.69399999999999995</v>
      </c>
      <c r="L5" s="5"/>
    </row>
    <row r="6" spans="1:12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2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12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2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5"/>
    </row>
    <row r="10" spans="1:12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2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2">
      <c r="A14" s="10"/>
      <c r="B14" s="45" t="s">
        <v>14</v>
      </c>
      <c r="C14" s="11">
        <v>5.5220000000000002</v>
      </c>
      <c r="D14" s="11">
        <v>8.4090000000000007</v>
      </c>
      <c r="E14" s="10"/>
      <c r="F14" s="11">
        <v>0.52200000000000002</v>
      </c>
      <c r="G14" s="11">
        <v>0.82199999999999995</v>
      </c>
      <c r="H14" s="11">
        <v>0.83</v>
      </c>
      <c r="I14" s="11">
        <v>0.79100000000000004</v>
      </c>
      <c r="J14" s="11">
        <v>0.71099999999999997</v>
      </c>
      <c r="K14" s="11">
        <v>0.73519999999999996</v>
      </c>
      <c r="L14" s="1">
        <f>AVERAGE(F14,G14,H14,J14,K14)</f>
        <v>0.72403999999999991</v>
      </c>
    </row>
    <row r="15" spans="1:12">
      <c r="A15" s="45" t="s">
        <v>27</v>
      </c>
      <c r="B15" s="45" t="s">
        <v>207</v>
      </c>
      <c r="C15" s="11">
        <v>7.2210000000000001</v>
      </c>
      <c r="D15" s="11">
        <v>11.856</v>
      </c>
      <c r="E15" s="10"/>
      <c r="F15" s="11">
        <v>0.42099999999999999</v>
      </c>
      <c r="G15" s="11">
        <v>0.76200000000000001</v>
      </c>
      <c r="H15" s="11">
        <v>0.74299999999999999</v>
      </c>
      <c r="I15" s="11">
        <v>0.78500000000000003</v>
      </c>
      <c r="J15" s="11">
        <v>0.55600000000000005</v>
      </c>
      <c r="K15" s="11">
        <v>0.65300000000000002</v>
      </c>
    </row>
    <row r="16" spans="1:12">
      <c r="A16" s="10"/>
      <c r="B16" s="45" t="s">
        <v>208</v>
      </c>
      <c r="C16" s="10"/>
      <c r="D16" s="10"/>
      <c r="E16" s="10"/>
      <c r="F16" s="10"/>
      <c r="G16" s="10"/>
      <c r="H16" s="10"/>
      <c r="I16" s="10"/>
      <c r="J16" s="10"/>
      <c r="K16" s="10"/>
      <c r="L16" s="5"/>
    </row>
    <row r="17" spans="1:1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2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2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5"/>
    </row>
    <row r="21" spans="1:1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spans="1:1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spans="1:1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spans="1:1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spans="1:1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spans="1:12">
      <c r="A26" s="45" t="s">
        <v>33</v>
      </c>
      <c r="B26" s="45" t="s">
        <v>14</v>
      </c>
      <c r="C26" s="11">
        <v>6.0838999999999999</v>
      </c>
      <c r="D26" s="11">
        <v>10.816599999999999</v>
      </c>
      <c r="E26" s="10"/>
      <c r="F26" s="11">
        <v>0.47699999999999998</v>
      </c>
      <c r="G26" s="11">
        <v>0.80400000000000005</v>
      </c>
      <c r="H26" s="11">
        <v>0.84599999999999997</v>
      </c>
      <c r="I26" s="11">
        <v>0.78700000000000003</v>
      </c>
      <c r="J26" s="11">
        <v>0.81499999999999995</v>
      </c>
      <c r="K26" s="11">
        <v>0.74580000000000002</v>
      </c>
      <c r="L26" s="1">
        <f>AVERAGE(F26,G26,H26,J26,K26)</f>
        <v>0.73755999999999999</v>
      </c>
    </row>
    <row r="27" spans="1:12">
      <c r="A27" s="45" t="s">
        <v>33</v>
      </c>
      <c r="B27" s="45" t="s">
        <v>207</v>
      </c>
      <c r="C27" s="10"/>
      <c r="D27" s="10"/>
      <c r="E27" s="10"/>
      <c r="F27" s="10"/>
      <c r="G27" s="10"/>
      <c r="H27" s="10"/>
      <c r="I27" s="10"/>
      <c r="J27" s="10"/>
      <c r="K27" s="10"/>
    </row>
    <row r="28" spans="1:12">
      <c r="A28" s="10"/>
      <c r="B28" s="45" t="s">
        <v>208</v>
      </c>
      <c r="C28" s="10"/>
      <c r="D28" s="10"/>
      <c r="E28" s="10"/>
      <c r="F28" s="10"/>
      <c r="G28" s="10"/>
      <c r="H28" s="10"/>
      <c r="I28" s="10"/>
      <c r="J28" s="10"/>
      <c r="K28" s="10"/>
      <c r="L28" s="5"/>
    </row>
    <row r="29" spans="1:12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spans="1:1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spans="1:1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spans="1:1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5"/>
    </row>
    <row r="33" spans="1:12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spans="1:12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spans="1:12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1:1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spans="1:1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spans="1:1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2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spans="1:12">
      <c r="A40" s="45" t="s">
        <v>0</v>
      </c>
      <c r="B40" s="45" t="s">
        <v>1</v>
      </c>
      <c r="C40" s="10"/>
      <c r="D40" s="10"/>
      <c r="E40" s="10"/>
      <c r="F40" s="10"/>
      <c r="G40" s="10"/>
      <c r="H40" s="10"/>
      <c r="I40" s="10"/>
      <c r="J40" s="10"/>
      <c r="K40" s="10"/>
    </row>
    <row r="41" spans="1:12">
      <c r="A41" s="10"/>
      <c r="B41" s="10"/>
      <c r="C41" s="45" t="s">
        <v>2</v>
      </c>
      <c r="D41" s="45" t="s">
        <v>3</v>
      </c>
      <c r="E41" s="10"/>
      <c r="F41" s="45" t="s">
        <v>4</v>
      </c>
      <c r="G41" s="45" t="s">
        <v>5</v>
      </c>
      <c r="H41" s="45" t="s">
        <v>6</v>
      </c>
      <c r="I41" s="45" t="s">
        <v>10</v>
      </c>
      <c r="J41" s="45" t="s">
        <v>11</v>
      </c>
      <c r="K41" s="45" t="s">
        <v>13</v>
      </c>
      <c r="L41" s="1" t="s">
        <v>13</v>
      </c>
    </row>
    <row r="42" spans="1:12">
      <c r="A42" s="10"/>
      <c r="B42" s="45" t="s">
        <v>14</v>
      </c>
      <c r="C42" s="11">
        <v>5.4420000000000002</v>
      </c>
      <c r="D42" s="11">
        <v>8.3460000000000001</v>
      </c>
      <c r="E42" s="10"/>
      <c r="F42" s="11">
        <v>0.505</v>
      </c>
      <c r="G42" s="11">
        <v>0.8</v>
      </c>
      <c r="H42" s="11">
        <v>0.81299999999999994</v>
      </c>
      <c r="I42" s="11">
        <v>0.79600000000000004</v>
      </c>
      <c r="J42" s="11">
        <v>0.69599999999999995</v>
      </c>
      <c r="K42" s="11">
        <v>0.72199999999999998</v>
      </c>
      <c r="L42" s="1">
        <f>AVERAGE(F42,G42,H42,J42,K42)</f>
        <v>0.70720000000000005</v>
      </c>
    </row>
    <row r="43" spans="1:12">
      <c r="A43" s="45" t="s">
        <v>38</v>
      </c>
      <c r="B43" s="45" t="s">
        <v>207</v>
      </c>
      <c r="C43" s="10"/>
      <c r="D43" s="10"/>
      <c r="E43" s="10"/>
      <c r="F43" s="10"/>
      <c r="G43" s="10"/>
      <c r="H43" s="10"/>
      <c r="I43" s="10"/>
      <c r="J43" s="10"/>
      <c r="K43" s="10"/>
    </row>
    <row r="44" spans="1:12">
      <c r="A44" s="10"/>
      <c r="B44" s="45" t="s">
        <v>208</v>
      </c>
      <c r="C44" s="10"/>
      <c r="D44" s="10"/>
      <c r="E44" s="10"/>
      <c r="F44" s="10"/>
      <c r="G44" s="10"/>
      <c r="H44" s="10"/>
      <c r="I44" s="10"/>
      <c r="J44" s="10"/>
      <c r="K44" s="10"/>
      <c r="L44" s="5"/>
    </row>
    <row r="45" spans="1:12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spans="1:12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spans="1:12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 spans="1:12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5"/>
    </row>
    <row r="49" spans="1:1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spans="1:1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 spans="1:11">
      <c r="A51" s="10"/>
      <c r="B51" s="10"/>
      <c r="C51" s="10"/>
      <c r="D51" s="10"/>
      <c r="E51" s="10"/>
      <c r="F51" s="10"/>
      <c r="G51" s="45" t="s">
        <v>209</v>
      </c>
      <c r="H51" s="10"/>
      <c r="I51" s="10"/>
      <c r="J51" s="10"/>
      <c r="K51" s="10"/>
    </row>
    <row r="52" spans="1:11">
      <c r="I52" s="2"/>
    </row>
    <row r="53" spans="1:11">
      <c r="I53" s="2"/>
    </row>
    <row r="54" spans="1:11">
      <c r="I54" s="2"/>
    </row>
    <row r="55" spans="1:11">
      <c r="G55" s="5"/>
      <c r="I55" s="2"/>
    </row>
    <row r="56" spans="1:11">
      <c r="I56" s="2"/>
    </row>
    <row r="57" spans="1:11">
      <c r="I57" s="2"/>
    </row>
    <row r="58" spans="1:11">
      <c r="I58" s="2"/>
    </row>
    <row r="59" spans="1:11">
      <c r="I59" s="2"/>
    </row>
    <row r="60" spans="1:11">
      <c r="I60" s="2"/>
    </row>
    <row r="61" spans="1:11">
      <c r="I61" s="2"/>
    </row>
    <row r="62" spans="1:11">
      <c r="I62" s="2"/>
    </row>
    <row r="63" spans="1:11">
      <c r="I63" s="2"/>
    </row>
    <row r="64" spans="1:11">
      <c r="I64" s="2"/>
    </row>
    <row r="65" spans="9:9">
      <c r="I65" s="2"/>
    </row>
    <row r="66" spans="9:9">
      <c r="I66" s="2"/>
    </row>
    <row r="67" spans="9:9">
      <c r="I67" s="2"/>
    </row>
    <row r="68" spans="9:9">
      <c r="I68" s="2"/>
    </row>
    <row r="69" spans="9:9">
      <c r="I69" s="2"/>
    </row>
    <row r="70" spans="9:9">
      <c r="I70" s="2"/>
    </row>
    <row r="71" spans="9:9">
      <c r="I71" s="2"/>
    </row>
    <row r="72" spans="9:9">
      <c r="I72" s="2"/>
    </row>
    <row r="73" spans="9:9">
      <c r="I73" s="2"/>
    </row>
    <row r="74" spans="9:9">
      <c r="I74" s="2"/>
    </row>
    <row r="75" spans="9:9">
      <c r="I75" s="2"/>
    </row>
    <row r="76" spans="9:9">
      <c r="I76" s="2"/>
    </row>
    <row r="77" spans="9:9">
      <c r="I77" s="2"/>
    </row>
    <row r="78" spans="9:9">
      <c r="I78" s="2"/>
    </row>
    <row r="79" spans="9:9">
      <c r="I79" s="2"/>
    </row>
    <row r="80" spans="9:9">
      <c r="I80" s="2"/>
    </row>
    <row r="81" spans="9:9">
      <c r="I81" s="2"/>
    </row>
    <row r="82" spans="9:9">
      <c r="I82" s="2"/>
    </row>
    <row r="83" spans="9:9">
      <c r="I83" s="2"/>
    </row>
    <row r="84" spans="9:9">
      <c r="I84" s="2"/>
    </row>
    <row r="85" spans="9:9">
      <c r="I85" s="2"/>
    </row>
    <row r="86" spans="9:9">
      <c r="I86" s="2"/>
    </row>
    <row r="87" spans="9:9">
      <c r="I87" s="2"/>
    </row>
    <row r="88" spans="9:9">
      <c r="I88" s="2"/>
    </row>
    <row r="89" spans="9:9">
      <c r="I89" s="2"/>
    </row>
    <row r="90" spans="9:9">
      <c r="I90" s="2"/>
    </row>
    <row r="91" spans="9:9">
      <c r="I91" s="2"/>
    </row>
    <row r="92" spans="9:9">
      <c r="I92" s="2"/>
    </row>
    <row r="93" spans="9:9">
      <c r="I93" s="2"/>
    </row>
    <row r="94" spans="9:9">
      <c r="I94" s="2"/>
    </row>
    <row r="95" spans="9:9">
      <c r="I95" s="2"/>
    </row>
    <row r="96" spans="9:9">
      <c r="I96" s="2"/>
    </row>
    <row r="97" spans="9:9">
      <c r="I97" s="2"/>
    </row>
    <row r="98" spans="9:9">
      <c r="I98" s="2"/>
    </row>
    <row r="99" spans="9:9">
      <c r="I99" s="2"/>
    </row>
    <row r="100" spans="9:9">
      <c r="I100" s="2"/>
    </row>
    <row r="101" spans="9:9">
      <c r="I101" s="2"/>
    </row>
    <row r="102" spans="9:9">
      <c r="I102" s="2"/>
    </row>
    <row r="103" spans="9:9">
      <c r="I103" s="2"/>
    </row>
    <row r="104" spans="9:9">
      <c r="I104" s="2"/>
    </row>
    <row r="105" spans="9:9">
      <c r="I105" s="2"/>
    </row>
    <row r="106" spans="9:9">
      <c r="I106" s="2"/>
    </row>
    <row r="107" spans="9:9">
      <c r="I107" s="2"/>
    </row>
    <row r="108" spans="9:9">
      <c r="I108" s="2"/>
    </row>
    <row r="109" spans="9:9">
      <c r="I109" s="2"/>
    </row>
    <row r="110" spans="9:9">
      <c r="I110" s="2"/>
    </row>
    <row r="111" spans="9:9">
      <c r="I111" s="2"/>
    </row>
    <row r="112" spans="9:9">
      <c r="I112" s="2"/>
    </row>
    <row r="113" spans="9:9">
      <c r="I113" s="2"/>
    </row>
    <row r="114" spans="9:9">
      <c r="I114" s="2"/>
    </row>
    <row r="115" spans="9:9">
      <c r="I115" s="2"/>
    </row>
    <row r="116" spans="9:9">
      <c r="I116" s="2"/>
    </row>
    <row r="117" spans="9:9">
      <c r="I117" s="2"/>
    </row>
    <row r="118" spans="9:9">
      <c r="I118" s="2"/>
    </row>
    <row r="119" spans="9:9">
      <c r="I119" s="2"/>
    </row>
    <row r="120" spans="9:9">
      <c r="I120" s="2"/>
    </row>
    <row r="121" spans="9:9">
      <c r="I121" s="2"/>
    </row>
    <row r="122" spans="9:9">
      <c r="I122" s="2"/>
    </row>
    <row r="123" spans="9:9">
      <c r="I123" s="2"/>
    </row>
    <row r="124" spans="9:9">
      <c r="I124" s="2"/>
    </row>
    <row r="125" spans="9:9">
      <c r="I125" s="2"/>
    </row>
    <row r="126" spans="9:9">
      <c r="I126" s="2"/>
    </row>
    <row r="127" spans="9:9">
      <c r="I127" s="2"/>
    </row>
    <row r="128" spans="9:9">
      <c r="I128" s="2"/>
    </row>
    <row r="129" spans="9:9">
      <c r="I129" s="2"/>
    </row>
    <row r="130" spans="9:9">
      <c r="I130" s="2"/>
    </row>
    <row r="131" spans="9:9">
      <c r="I131" s="2"/>
    </row>
    <row r="132" spans="9:9">
      <c r="I132" s="2"/>
    </row>
    <row r="133" spans="9:9">
      <c r="I133" s="2"/>
    </row>
    <row r="134" spans="9:9">
      <c r="I134" s="2"/>
    </row>
    <row r="135" spans="9:9">
      <c r="I135" s="2"/>
    </row>
    <row r="136" spans="9:9">
      <c r="I136" s="2"/>
    </row>
    <row r="137" spans="9:9">
      <c r="I137" s="2"/>
    </row>
    <row r="138" spans="9:9">
      <c r="I138" s="2"/>
    </row>
    <row r="139" spans="9:9">
      <c r="I139" s="2"/>
    </row>
    <row r="140" spans="9:9">
      <c r="I140" s="2"/>
    </row>
    <row r="141" spans="9:9">
      <c r="I141" s="2"/>
    </row>
    <row r="142" spans="9:9">
      <c r="I142" s="2"/>
    </row>
    <row r="143" spans="9:9">
      <c r="I143" s="2"/>
    </row>
    <row r="144" spans="9:9">
      <c r="I144" s="2"/>
    </row>
    <row r="145" spans="9:9">
      <c r="I145" s="2"/>
    </row>
    <row r="146" spans="9:9">
      <c r="I146" s="2"/>
    </row>
    <row r="147" spans="9:9">
      <c r="I147" s="2"/>
    </row>
    <row r="148" spans="9:9">
      <c r="I148" s="2"/>
    </row>
    <row r="149" spans="9:9">
      <c r="I149" s="2"/>
    </row>
    <row r="150" spans="9:9">
      <c r="I150" s="2"/>
    </row>
    <row r="151" spans="9:9">
      <c r="I151" s="2"/>
    </row>
    <row r="152" spans="9:9">
      <c r="I152" s="2"/>
    </row>
    <row r="153" spans="9:9">
      <c r="I153" s="2"/>
    </row>
    <row r="154" spans="9:9">
      <c r="I154" s="2"/>
    </row>
    <row r="155" spans="9:9">
      <c r="I155" s="2"/>
    </row>
    <row r="156" spans="9:9">
      <c r="I156" s="2"/>
    </row>
    <row r="157" spans="9:9">
      <c r="I157" s="2"/>
    </row>
    <row r="158" spans="9:9">
      <c r="I158" s="2"/>
    </row>
    <row r="159" spans="9:9">
      <c r="I159" s="2"/>
    </row>
    <row r="160" spans="9:9">
      <c r="I160" s="2"/>
    </row>
    <row r="161" spans="9:9">
      <c r="I161" s="2"/>
    </row>
    <row r="162" spans="9:9">
      <c r="I162" s="2"/>
    </row>
    <row r="163" spans="9:9">
      <c r="I163" s="2"/>
    </row>
    <row r="164" spans="9:9">
      <c r="I164" s="2"/>
    </row>
    <row r="165" spans="9:9">
      <c r="I165" s="2"/>
    </row>
    <row r="166" spans="9:9">
      <c r="I166" s="2"/>
    </row>
    <row r="167" spans="9:9">
      <c r="I167" s="2"/>
    </row>
    <row r="168" spans="9:9">
      <c r="I168" s="2"/>
    </row>
    <row r="169" spans="9:9">
      <c r="I169" s="2"/>
    </row>
    <row r="170" spans="9:9">
      <c r="I170" s="2"/>
    </row>
    <row r="171" spans="9:9">
      <c r="I171" s="2"/>
    </row>
    <row r="172" spans="9:9">
      <c r="I172" s="2"/>
    </row>
    <row r="173" spans="9:9">
      <c r="I173" s="2"/>
    </row>
    <row r="174" spans="9:9">
      <c r="I174" s="2"/>
    </row>
    <row r="175" spans="9:9">
      <c r="I175" s="2"/>
    </row>
    <row r="176" spans="9:9">
      <c r="I176" s="2"/>
    </row>
    <row r="177" spans="9:9">
      <c r="I177" s="2"/>
    </row>
    <row r="178" spans="9:9">
      <c r="I178" s="2"/>
    </row>
    <row r="179" spans="9:9">
      <c r="I179" s="2"/>
    </row>
    <row r="180" spans="9:9">
      <c r="I180" s="2"/>
    </row>
    <row r="181" spans="9:9">
      <c r="I181" s="2"/>
    </row>
    <row r="182" spans="9:9">
      <c r="I182" s="2"/>
    </row>
    <row r="183" spans="9:9">
      <c r="I183" s="2"/>
    </row>
    <row r="184" spans="9:9">
      <c r="I184" s="2"/>
    </row>
    <row r="185" spans="9:9">
      <c r="I185" s="2"/>
    </row>
    <row r="186" spans="9:9">
      <c r="I186" s="2"/>
    </row>
    <row r="187" spans="9:9">
      <c r="I187" s="2"/>
    </row>
    <row r="188" spans="9:9">
      <c r="I188" s="2"/>
    </row>
    <row r="189" spans="9:9">
      <c r="I189" s="2"/>
    </row>
    <row r="190" spans="9:9">
      <c r="I190" s="2"/>
    </row>
    <row r="191" spans="9:9">
      <c r="I191" s="2"/>
    </row>
    <row r="192" spans="9:9">
      <c r="I192" s="2"/>
    </row>
    <row r="193" spans="9:9">
      <c r="I193" s="2"/>
    </row>
    <row r="194" spans="9:9">
      <c r="I194" s="2"/>
    </row>
    <row r="195" spans="9:9">
      <c r="I195" s="2"/>
    </row>
    <row r="196" spans="9:9">
      <c r="I196" s="2"/>
    </row>
    <row r="197" spans="9:9">
      <c r="I197" s="2"/>
    </row>
    <row r="198" spans="9:9">
      <c r="I198" s="2"/>
    </row>
    <row r="199" spans="9:9">
      <c r="I199" s="2"/>
    </row>
    <row r="200" spans="9:9">
      <c r="I200" s="2"/>
    </row>
    <row r="201" spans="9:9">
      <c r="I201" s="2"/>
    </row>
    <row r="202" spans="9:9">
      <c r="I202" s="2"/>
    </row>
    <row r="203" spans="9:9">
      <c r="I203" s="2"/>
    </row>
    <row r="204" spans="9:9">
      <c r="I204" s="2"/>
    </row>
    <row r="205" spans="9:9">
      <c r="I205" s="2"/>
    </row>
    <row r="206" spans="9:9">
      <c r="I206" s="2"/>
    </row>
    <row r="207" spans="9:9">
      <c r="I207" s="2"/>
    </row>
    <row r="208" spans="9:9">
      <c r="I208" s="2"/>
    </row>
    <row r="209" spans="9:9">
      <c r="I209" s="2"/>
    </row>
    <row r="210" spans="9:9">
      <c r="I210" s="2"/>
    </row>
    <row r="211" spans="9:9">
      <c r="I211" s="2"/>
    </row>
    <row r="212" spans="9:9">
      <c r="I212" s="2"/>
    </row>
    <row r="213" spans="9:9">
      <c r="I213" s="2"/>
    </row>
    <row r="214" spans="9:9">
      <c r="I214" s="2"/>
    </row>
    <row r="215" spans="9:9">
      <c r="I215" s="2"/>
    </row>
    <row r="216" spans="9:9">
      <c r="I216" s="2"/>
    </row>
    <row r="217" spans="9:9">
      <c r="I217" s="2"/>
    </row>
    <row r="218" spans="9:9">
      <c r="I218" s="2"/>
    </row>
    <row r="219" spans="9:9">
      <c r="I219" s="2"/>
    </row>
    <row r="220" spans="9:9">
      <c r="I220" s="2"/>
    </row>
    <row r="221" spans="9:9">
      <c r="I221" s="2"/>
    </row>
    <row r="222" spans="9:9">
      <c r="I222" s="2"/>
    </row>
    <row r="223" spans="9:9">
      <c r="I223" s="2"/>
    </row>
    <row r="224" spans="9:9">
      <c r="I224" s="2"/>
    </row>
    <row r="225" spans="9:9">
      <c r="I225" s="2"/>
    </row>
    <row r="226" spans="9:9">
      <c r="I226" s="2"/>
    </row>
    <row r="227" spans="9:9">
      <c r="I227" s="2"/>
    </row>
    <row r="228" spans="9:9">
      <c r="I228" s="2"/>
    </row>
    <row r="229" spans="9:9">
      <c r="I229" s="2"/>
    </row>
    <row r="230" spans="9:9">
      <c r="I230" s="2"/>
    </row>
    <row r="231" spans="9:9">
      <c r="I231" s="2"/>
    </row>
    <row r="232" spans="9:9">
      <c r="I232" s="2"/>
    </row>
    <row r="233" spans="9:9">
      <c r="I233" s="2"/>
    </row>
    <row r="234" spans="9:9">
      <c r="I234" s="2"/>
    </row>
    <row r="235" spans="9:9">
      <c r="I235" s="2"/>
    </row>
    <row r="236" spans="9:9">
      <c r="I236" s="2"/>
    </row>
    <row r="237" spans="9:9">
      <c r="I237" s="2"/>
    </row>
    <row r="238" spans="9:9">
      <c r="I238" s="2"/>
    </row>
    <row r="239" spans="9:9">
      <c r="I239" s="2"/>
    </row>
    <row r="240" spans="9:9">
      <c r="I240" s="2"/>
    </row>
    <row r="241" spans="9:9">
      <c r="I241" s="2"/>
    </row>
    <row r="242" spans="9:9">
      <c r="I242" s="2"/>
    </row>
    <row r="243" spans="9:9">
      <c r="I243" s="2"/>
    </row>
    <row r="244" spans="9:9">
      <c r="I244" s="2"/>
    </row>
    <row r="245" spans="9:9">
      <c r="I245" s="2"/>
    </row>
    <row r="246" spans="9:9">
      <c r="I246" s="2"/>
    </row>
    <row r="247" spans="9:9">
      <c r="I247" s="2"/>
    </row>
    <row r="248" spans="9:9">
      <c r="I248" s="2"/>
    </row>
    <row r="249" spans="9:9">
      <c r="I249" s="2"/>
    </row>
    <row r="250" spans="9:9">
      <c r="I250" s="2"/>
    </row>
    <row r="251" spans="9:9">
      <c r="I251" s="2"/>
    </row>
    <row r="252" spans="9:9">
      <c r="I252" s="2"/>
    </row>
    <row r="253" spans="9:9">
      <c r="I253" s="2"/>
    </row>
    <row r="254" spans="9:9">
      <c r="I254" s="2"/>
    </row>
    <row r="255" spans="9:9">
      <c r="I255" s="2"/>
    </row>
    <row r="256" spans="9:9">
      <c r="I256" s="2"/>
    </row>
    <row r="257" spans="9:9">
      <c r="I257" s="2"/>
    </row>
    <row r="258" spans="9:9">
      <c r="I258" s="2"/>
    </row>
    <row r="259" spans="9:9">
      <c r="I259" s="2"/>
    </row>
    <row r="260" spans="9:9">
      <c r="I260" s="2"/>
    </row>
    <row r="261" spans="9:9">
      <c r="I261" s="2"/>
    </row>
    <row r="262" spans="9:9">
      <c r="I262" s="2"/>
    </row>
    <row r="263" spans="9:9">
      <c r="I263" s="2"/>
    </row>
    <row r="264" spans="9:9">
      <c r="I264" s="2"/>
    </row>
    <row r="265" spans="9:9">
      <c r="I265" s="2"/>
    </row>
    <row r="266" spans="9:9">
      <c r="I266" s="2"/>
    </row>
    <row r="267" spans="9:9">
      <c r="I267" s="2"/>
    </row>
    <row r="268" spans="9:9">
      <c r="I268" s="2"/>
    </row>
    <row r="269" spans="9:9">
      <c r="I269" s="2"/>
    </row>
    <row r="270" spans="9:9">
      <c r="I270" s="2"/>
    </row>
    <row r="271" spans="9:9">
      <c r="I271" s="2"/>
    </row>
    <row r="272" spans="9:9">
      <c r="I272" s="2"/>
    </row>
    <row r="273" spans="9:9">
      <c r="I273" s="2"/>
    </row>
    <row r="274" spans="9:9">
      <c r="I274" s="2"/>
    </row>
    <row r="275" spans="9:9">
      <c r="I275" s="2"/>
    </row>
    <row r="276" spans="9:9">
      <c r="I276" s="2"/>
    </row>
    <row r="277" spans="9:9">
      <c r="I277" s="2"/>
    </row>
    <row r="278" spans="9:9">
      <c r="I278" s="2"/>
    </row>
    <row r="279" spans="9:9">
      <c r="I279" s="2"/>
    </row>
    <row r="280" spans="9:9">
      <c r="I280" s="2"/>
    </row>
    <row r="281" spans="9:9">
      <c r="I281" s="2"/>
    </row>
    <row r="282" spans="9:9">
      <c r="I282" s="2"/>
    </row>
    <row r="283" spans="9:9">
      <c r="I283" s="2"/>
    </row>
    <row r="284" spans="9:9">
      <c r="I284" s="2"/>
    </row>
    <row r="285" spans="9:9">
      <c r="I285" s="2"/>
    </row>
    <row r="286" spans="9:9">
      <c r="I286" s="2"/>
    </row>
    <row r="287" spans="9:9">
      <c r="I287" s="2"/>
    </row>
    <row r="288" spans="9:9">
      <c r="I288" s="2"/>
    </row>
    <row r="289" spans="9:9">
      <c r="I289" s="2"/>
    </row>
    <row r="290" spans="9:9">
      <c r="I290" s="2"/>
    </row>
    <row r="291" spans="9:9">
      <c r="I291" s="2"/>
    </row>
    <row r="292" spans="9:9">
      <c r="I292" s="2"/>
    </row>
    <row r="293" spans="9:9">
      <c r="I293" s="2"/>
    </row>
    <row r="294" spans="9:9">
      <c r="I294" s="2"/>
    </row>
    <row r="295" spans="9:9">
      <c r="I295" s="2"/>
    </row>
    <row r="296" spans="9:9">
      <c r="I296" s="2"/>
    </row>
    <row r="297" spans="9:9">
      <c r="I297" s="2"/>
    </row>
    <row r="298" spans="9:9">
      <c r="I298" s="2"/>
    </row>
    <row r="299" spans="9:9">
      <c r="I299" s="2"/>
    </row>
    <row r="300" spans="9:9">
      <c r="I300" s="2"/>
    </row>
    <row r="301" spans="9:9">
      <c r="I301" s="2"/>
    </row>
    <row r="302" spans="9:9">
      <c r="I302" s="2"/>
    </row>
    <row r="303" spans="9:9">
      <c r="I303" s="2"/>
    </row>
    <row r="304" spans="9:9">
      <c r="I304" s="2"/>
    </row>
    <row r="305" spans="9:9">
      <c r="I305" s="2"/>
    </row>
    <row r="306" spans="9:9">
      <c r="I306" s="2"/>
    </row>
    <row r="307" spans="9:9">
      <c r="I307" s="2"/>
    </row>
    <row r="308" spans="9:9">
      <c r="I308" s="2"/>
    </row>
    <row r="309" spans="9:9">
      <c r="I309" s="2"/>
    </row>
    <row r="310" spans="9:9">
      <c r="I310" s="2"/>
    </row>
    <row r="311" spans="9:9">
      <c r="I311" s="2"/>
    </row>
    <row r="312" spans="9:9">
      <c r="I312" s="2"/>
    </row>
    <row r="313" spans="9:9">
      <c r="I313" s="2"/>
    </row>
    <row r="314" spans="9:9">
      <c r="I314" s="2"/>
    </row>
    <row r="315" spans="9:9">
      <c r="I315" s="2"/>
    </row>
    <row r="316" spans="9:9">
      <c r="I316" s="2"/>
    </row>
    <row r="317" spans="9:9">
      <c r="I317" s="2"/>
    </row>
    <row r="318" spans="9:9">
      <c r="I318" s="2"/>
    </row>
    <row r="319" spans="9:9">
      <c r="I319" s="2"/>
    </row>
    <row r="320" spans="9:9">
      <c r="I320" s="2"/>
    </row>
    <row r="321" spans="9:9">
      <c r="I321" s="2"/>
    </row>
    <row r="322" spans="9:9">
      <c r="I322" s="2"/>
    </row>
    <row r="323" spans="9:9">
      <c r="I323" s="2"/>
    </row>
    <row r="324" spans="9:9">
      <c r="I324" s="2"/>
    </row>
    <row r="325" spans="9:9">
      <c r="I325" s="2"/>
    </row>
    <row r="326" spans="9:9">
      <c r="I326" s="2"/>
    </row>
    <row r="327" spans="9:9">
      <c r="I327" s="2"/>
    </row>
    <row r="328" spans="9:9">
      <c r="I328" s="2"/>
    </row>
    <row r="329" spans="9:9">
      <c r="I329" s="2"/>
    </row>
    <row r="330" spans="9:9">
      <c r="I330" s="2"/>
    </row>
    <row r="331" spans="9:9">
      <c r="I331" s="2"/>
    </row>
    <row r="332" spans="9:9">
      <c r="I332" s="2"/>
    </row>
    <row r="333" spans="9:9">
      <c r="I333" s="2"/>
    </row>
    <row r="334" spans="9:9">
      <c r="I334" s="2"/>
    </row>
    <row r="335" spans="9:9">
      <c r="I335" s="2"/>
    </row>
    <row r="336" spans="9:9">
      <c r="I336" s="2"/>
    </row>
    <row r="337" spans="9:9">
      <c r="I337" s="2"/>
    </row>
    <row r="338" spans="9:9">
      <c r="I338" s="2"/>
    </row>
    <row r="339" spans="9:9">
      <c r="I339" s="2"/>
    </row>
    <row r="340" spans="9:9">
      <c r="I340" s="2"/>
    </row>
    <row r="341" spans="9:9">
      <c r="I341" s="2"/>
    </row>
    <row r="342" spans="9:9">
      <c r="I342" s="2"/>
    </row>
    <row r="343" spans="9:9">
      <c r="I343" s="2"/>
    </row>
    <row r="344" spans="9:9">
      <c r="I344" s="2"/>
    </row>
    <row r="345" spans="9:9">
      <c r="I345" s="2"/>
    </row>
    <row r="346" spans="9:9">
      <c r="I346" s="2"/>
    </row>
    <row r="347" spans="9:9">
      <c r="I347" s="2"/>
    </row>
    <row r="348" spans="9:9">
      <c r="I348" s="2"/>
    </row>
    <row r="349" spans="9:9">
      <c r="I349" s="2"/>
    </row>
    <row r="350" spans="9:9">
      <c r="I350" s="2"/>
    </row>
    <row r="351" spans="9:9">
      <c r="I351" s="2"/>
    </row>
    <row r="352" spans="9:9">
      <c r="I352" s="2"/>
    </row>
    <row r="353" spans="9:9">
      <c r="I353" s="2"/>
    </row>
    <row r="354" spans="9:9">
      <c r="I354" s="2"/>
    </row>
    <row r="355" spans="9:9">
      <c r="I355" s="2"/>
    </row>
    <row r="356" spans="9:9">
      <c r="I356" s="2"/>
    </row>
    <row r="357" spans="9:9">
      <c r="I357" s="2"/>
    </row>
    <row r="358" spans="9:9">
      <c r="I358" s="2"/>
    </row>
    <row r="359" spans="9:9">
      <c r="I359" s="2"/>
    </row>
    <row r="360" spans="9:9">
      <c r="I360" s="2"/>
    </row>
    <row r="361" spans="9:9">
      <c r="I361" s="2"/>
    </row>
    <row r="362" spans="9:9">
      <c r="I362" s="2"/>
    </row>
    <row r="363" spans="9:9">
      <c r="I363" s="2"/>
    </row>
    <row r="364" spans="9:9">
      <c r="I364" s="2"/>
    </row>
    <row r="365" spans="9:9">
      <c r="I365" s="2"/>
    </row>
    <row r="366" spans="9:9">
      <c r="I366" s="2"/>
    </row>
    <row r="367" spans="9:9">
      <c r="I367" s="2"/>
    </row>
    <row r="368" spans="9:9">
      <c r="I368" s="2"/>
    </row>
    <row r="369" spans="9:9">
      <c r="I369" s="2"/>
    </row>
    <row r="370" spans="9:9">
      <c r="I370" s="2"/>
    </row>
    <row r="371" spans="9:9">
      <c r="I371" s="2"/>
    </row>
    <row r="372" spans="9:9">
      <c r="I372" s="2"/>
    </row>
    <row r="373" spans="9:9">
      <c r="I373" s="2"/>
    </row>
    <row r="374" spans="9:9">
      <c r="I374" s="2"/>
    </row>
    <row r="375" spans="9:9">
      <c r="I375" s="2"/>
    </row>
    <row r="376" spans="9:9">
      <c r="I376" s="2"/>
    </row>
    <row r="377" spans="9:9">
      <c r="I377" s="2"/>
    </row>
    <row r="378" spans="9:9">
      <c r="I378" s="2"/>
    </row>
    <row r="379" spans="9:9">
      <c r="I379" s="2"/>
    </row>
    <row r="380" spans="9:9">
      <c r="I380" s="2"/>
    </row>
    <row r="381" spans="9:9">
      <c r="I381" s="2"/>
    </row>
    <row r="382" spans="9:9">
      <c r="I382" s="2"/>
    </row>
    <row r="383" spans="9:9">
      <c r="I383" s="2"/>
    </row>
    <row r="384" spans="9:9">
      <c r="I384" s="2"/>
    </row>
    <row r="385" spans="9:9">
      <c r="I385" s="2"/>
    </row>
    <row r="386" spans="9:9">
      <c r="I386" s="2"/>
    </row>
    <row r="387" spans="9:9">
      <c r="I387" s="2"/>
    </row>
    <row r="388" spans="9:9">
      <c r="I388" s="2"/>
    </row>
    <row r="389" spans="9:9">
      <c r="I389" s="2"/>
    </row>
    <row r="390" spans="9:9">
      <c r="I390" s="2"/>
    </row>
    <row r="391" spans="9:9">
      <c r="I391" s="2"/>
    </row>
    <row r="392" spans="9:9">
      <c r="I392" s="2"/>
    </row>
    <row r="393" spans="9:9">
      <c r="I393" s="2"/>
    </row>
    <row r="394" spans="9:9">
      <c r="I394" s="2"/>
    </row>
    <row r="395" spans="9:9">
      <c r="I395" s="2"/>
    </row>
    <row r="396" spans="9:9">
      <c r="I396" s="2"/>
    </row>
    <row r="397" spans="9:9">
      <c r="I397" s="2"/>
    </row>
    <row r="398" spans="9:9">
      <c r="I398" s="2"/>
    </row>
    <row r="399" spans="9:9">
      <c r="I399" s="2"/>
    </row>
    <row r="400" spans="9:9">
      <c r="I400" s="2"/>
    </row>
    <row r="401" spans="9:9">
      <c r="I401" s="2"/>
    </row>
    <row r="402" spans="9:9">
      <c r="I402" s="2"/>
    </row>
    <row r="403" spans="9:9">
      <c r="I403" s="2"/>
    </row>
    <row r="404" spans="9:9">
      <c r="I404" s="2"/>
    </row>
    <row r="405" spans="9:9">
      <c r="I405" s="2"/>
    </row>
    <row r="406" spans="9:9">
      <c r="I406" s="2"/>
    </row>
    <row r="407" spans="9:9">
      <c r="I407" s="2"/>
    </row>
    <row r="408" spans="9:9">
      <c r="I408" s="2"/>
    </row>
    <row r="409" spans="9:9">
      <c r="I409" s="2"/>
    </row>
    <row r="410" spans="9:9">
      <c r="I410" s="2"/>
    </row>
    <row r="411" spans="9:9">
      <c r="I411" s="2"/>
    </row>
    <row r="412" spans="9:9">
      <c r="I412" s="2"/>
    </row>
    <row r="413" spans="9:9">
      <c r="I413" s="2"/>
    </row>
    <row r="414" spans="9:9">
      <c r="I414" s="2"/>
    </row>
    <row r="415" spans="9:9">
      <c r="I415" s="2"/>
    </row>
    <row r="416" spans="9:9">
      <c r="I416" s="2"/>
    </row>
    <row r="417" spans="9:9">
      <c r="I417" s="2"/>
    </row>
    <row r="418" spans="9:9">
      <c r="I418" s="2"/>
    </row>
    <row r="419" spans="9:9">
      <c r="I419" s="2"/>
    </row>
    <row r="420" spans="9:9">
      <c r="I420" s="2"/>
    </row>
    <row r="421" spans="9:9">
      <c r="I421" s="2"/>
    </row>
    <row r="422" spans="9:9">
      <c r="I422" s="2"/>
    </row>
    <row r="423" spans="9:9">
      <c r="I423" s="2"/>
    </row>
    <row r="424" spans="9:9">
      <c r="I424" s="2"/>
    </row>
    <row r="425" spans="9:9">
      <c r="I425" s="2"/>
    </row>
    <row r="426" spans="9:9">
      <c r="I426" s="2"/>
    </row>
    <row r="427" spans="9:9">
      <c r="I427" s="2"/>
    </row>
    <row r="428" spans="9:9">
      <c r="I428" s="2"/>
    </row>
    <row r="429" spans="9:9">
      <c r="I429" s="2"/>
    </row>
    <row r="430" spans="9:9">
      <c r="I430" s="2"/>
    </row>
    <row r="431" spans="9:9">
      <c r="I431" s="2"/>
    </row>
    <row r="432" spans="9:9">
      <c r="I432" s="2"/>
    </row>
    <row r="433" spans="9:9">
      <c r="I433" s="2"/>
    </row>
    <row r="434" spans="9:9">
      <c r="I434" s="2"/>
    </row>
    <row r="435" spans="9:9">
      <c r="I435" s="2"/>
    </row>
    <row r="436" spans="9:9">
      <c r="I436" s="2"/>
    </row>
    <row r="437" spans="9:9">
      <c r="I437" s="2"/>
    </row>
    <row r="438" spans="9:9">
      <c r="I438" s="2"/>
    </row>
    <row r="439" spans="9:9">
      <c r="I439" s="2"/>
    </row>
    <row r="440" spans="9:9">
      <c r="I440" s="2"/>
    </row>
    <row r="441" spans="9:9">
      <c r="I441" s="2"/>
    </row>
    <row r="442" spans="9:9">
      <c r="I442" s="2"/>
    </row>
    <row r="443" spans="9:9">
      <c r="I443" s="2"/>
    </row>
    <row r="444" spans="9:9">
      <c r="I444" s="2"/>
    </row>
    <row r="445" spans="9:9">
      <c r="I445" s="2"/>
    </row>
    <row r="446" spans="9:9">
      <c r="I446" s="2"/>
    </row>
    <row r="447" spans="9:9">
      <c r="I447" s="2"/>
    </row>
    <row r="448" spans="9:9">
      <c r="I448" s="2"/>
    </row>
    <row r="449" spans="9:9">
      <c r="I449" s="2"/>
    </row>
    <row r="450" spans="9:9">
      <c r="I450" s="2"/>
    </row>
    <row r="451" spans="9:9">
      <c r="I451" s="2"/>
    </row>
    <row r="452" spans="9:9">
      <c r="I452" s="2"/>
    </row>
    <row r="453" spans="9:9">
      <c r="I453" s="2"/>
    </row>
    <row r="454" spans="9:9">
      <c r="I454" s="2"/>
    </row>
    <row r="455" spans="9:9">
      <c r="I455" s="2"/>
    </row>
    <row r="456" spans="9:9">
      <c r="I456" s="2"/>
    </row>
    <row r="457" spans="9:9">
      <c r="I457" s="2"/>
    </row>
    <row r="458" spans="9:9">
      <c r="I458" s="2"/>
    </row>
    <row r="459" spans="9:9">
      <c r="I459" s="2"/>
    </row>
    <row r="460" spans="9:9">
      <c r="I460" s="2"/>
    </row>
    <row r="461" spans="9:9">
      <c r="I461" s="2"/>
    </row>
    <row r="462" spans="9:9">
      <c r="I462" s="2"/>
    </row>
    <row r="463" spans="9:9">
      <c r="I463" s="2"/>
    </row>
    <row r="464" spans="9:9">
      <c r="I464" s="2"/>
    </row>
    <row r="465" spans="9:9">
      <c r="I465" s="2"/>
    </row>
    <row r="466" spans="9:9">
      <c r="I466" s="2"/>
    </row>
    <row r="467" spans="9:9">
      <c r="I467" s="2"/>
    </row>
    <row r="468" spans="9:9">
      <c r="I468" s="2"/>
    </row>
    <row r="469" spans="9:9">
      <c r="I469" s="2"/>
    </row>
    <row r="470" spans="9:9">
      <c r="I470" s="2"/>
    </row>
    <row r="471" spans="9:9">
      <c r="I471" s="2"/>
    </row>
    <row r="472" spans="9:9">
      <c r="I472" s="2"/>
    </row>
    <row r="473" spans="9:9">
      <c r="I473" s="2"/>
    </row>
    <row r="474" spans="9:9">
      <c r="I474" s="2"/>
    </row>
    <row r="475" spans="9:9">
      <c r="I475" s="2"/>
    </row>
    <row r="476" spans="9:9">
      <c r="I476" s="2"/>
    </row>
    <row r="477" spans="9:9">
      <c r="I477" s="2"/>
    </row>
    <row r="478" spans="9:9">
      <c r="I478" s="2"/>
    </row>
    <row r="479" spans="9:9">
      <c r="I479" s="2"/>
    </row>
    <row r="480" spans="9:9">
      <c r="I480" s="2"/>
    </row>
    <row r="481" spans="9:9">
      <c r="I481" s="2"/>
    </row>
    <row r="482" spans="9:9">
      <c r="I482" s="2"/>
    </row>
    <row r="483" spans="9:9">
      <c r="I483" s="2"/>
    </row>
    <row r="484" spans="9:9">
      <c r="I484" s="2"/>
    </row>
    <row r="485" spans="9:9">
      <c r="I485" s="2"/>
    </row>
    <row r="486" spans="9:9">
      <c r="I486" s="2"/>
    </row>
    <row r="487" spans="9:9">
      <c r="I487" s="2"/>
    </row>
    <row r="488" spans="9:9">
      <c r="I488" s="2"/>
    </row>
    <row r="489" spans="9:9">
      <c r="I489" s="2"/>
    </row>
    <row r="490" spans="9:9">
      <c r="I490" s="2"/>
    </row>
    <row r="491" spans="9:9">
      <c r="I491" s="2"/>
    </row>
    <row r="492" spans="9:9">
      <c r="I492" s="2"/>
    </row>
    <row r="493" spans="9:9">
      <c r="I493" s="2"/>
    </row>
    <row r="494" spans="9:9">
      <c r="I494" s="2"/>
    </row>
    <row r="495" spans="9:9">
      <c r="I495" s="2"/>
    </row>
    <row r="496" spans="9:9">
      <c r="I496" s="2"/>
    </row>
    <row r="497" spans="9:9">
      <c r="I497" s="2"/>
    </row>
    <row r="498" spans="9:9">
      <c r="I498" s="2"/>
    </row>
    <row r="499" spans="9:9">
      <c r="I499" s="2"/>
    </row>
    <row r="500" spans="9:9">
      <c r="I500" s="2"/>
    </row>
    <row r="501" spans="9:9">
      <c r="I501" s="2"/>
    </row>
    <row r="502" spans="9:9">
      <c r="I502" s="2"/>
    </row>
    <row r="503" spans="9:9">
      <c r="I503" s="2"/>
    </row>
    <row r="504" spans="9:9">
      <c r="I504" s="2"/>
    </row>
    <row r="505" spans="9:9">
      <c r="I505" s="2"/>
    </row>
    <row r="506" spans="9:9">
      <c r="I506" s="2"/>
    </row>
    <row r="507" spans="9:9">
      <c r="I507" s="2"/>
    </row>
    <row r="508" spans="9:9">
      <c r="I508" s="2"/>
    </row>
    <row r="509" spans="9:9">
      <c r="I509" s="2"/>
    </row>
    <row r="510" spans="9:9">
      <c r="I510" s="2"/>
    </row>
    <row r="511" spans="9:9">
      <c r="I511" s="2"/>
    </row>
    <row r="512" spans="9:9">
      <c r="I512" s="2"/>
    </row>
    <row r="513" spans="9:9">
      <c r="I513" s="2"/>
    </row>
    <row r="514" spans="9:9">
      <c r="I514" s="2"/>
    </row>
    <row r="515" spans="9:9">
      <c r="I515" s="2"/>
    </row>
    <row r="516" spans="9:9">
      <c r="I516" s="2"/>
    </row>
    <row r="517" spans="9:9">
      <c r="I517" s="2"/>
    </row>
    <row r="518" spans="9:9">
      <c r="I518" s="2"/>
    </row>
    <row r="519" spans="9:9">
      <c r="I519" s="2"/>
    </row>
    <row r="520" spans="9:9">
      <c r="I520" s="2"/>
    </row>
    <row r="521" spans="9:9">
      <c r="I521" s="2"/>
    </row>
    <row r="522" spans="9:9">
      <c r="I522" s="2"/>
    </row>
    <row r="523" spans="9:9">
      <c r="I523" s="2"/>
    </row>
    <row r="524" spans="9:9">
      <c r="I524" s="2"/>
    </row>
    <row r="525" spans="9:9">
      <c r="I525" s="2"/>
    </row>
    <row r="526" spans="9:9">
      <c r="I526" s="2"/>
    </row>
    <row r="527" spans="9:9">
      <c r="I527" s="2"/>
    </row>
    <row r="528" spans="9:9">
      <c r="I528" s="2"/>
    </row>
    <row r="529" spans="9:9">
      <c r="I529" s="2"/>
    </row>
    <row r="530" spans="9:9">
      <c r="I530" s="2"/>
    </row>
    <row r="531" spans="9:9">
      <c r="I531" s="2"/>
    </row>
    <row r="532" spans="9:9">
      <c r="I532" s="2"/>
    </row>
    <row r="533" spans="9:9">
      <c r="I533" s="2"/>
    </row>
    <row r="534" spans="9:9">
      <c r="I534" s="2"/>
    </row>
    <row r="535" spans="9:9">
      <c r="I535" s="2"/>
    </row>
    <row r="536" spans="9:9">
      <c r="I536" s="2"/>
    </row>
    <row r="537" spans="9:9">
      <c r="I537" s="2"/>
    </row>
    <row r="538" spans="9:9">
      <c r="I538" s="2"/>
    </row>
    <row r="539" spans="9:9">
      <c r="I539" s="2"/>
    </row>
    <row r="540" spans="9:9">
      <c r="I540" s="2"/>
    </row>
    <row r="541" spans="9:9">
      <c r="I541" s="2"/>
    </row>
    <row r="542" spans="9:9">
      <c r="I542" s="2"/>
    </row>
    <row r="543" spans="9:9">
      <c r="I543" s="2"/>
    </row>
    <row r="544" spans="9:9">
      <c r="I544" s="2"/>
    </row>
    <row r="545" spans="9:9">
      <c r="I545" s="2"/>
    </row>
    <row r="546" spans="9:9">
      <c r="I546" s="2"/>
    </row>
    <row r="547" spans="9:9">
      <c r="I547" s="2"/>
    </row>
    <row r="548" spans="9:9">
      <c r="I548" s="2"/>
    </row>
    <row r="549" spans="9:9">
      <c r="I549" s="2"/>
    </row>
    <row r="550" spans="9:9">
      <c r="I550" s="2"/>
    </row>
    <row r="551" spans="9:9">
      <c r="I551" s="2"/>
    </row>
    <row r="552" spans="9:9">
      <c r="I552" s="2"/>
    </row>
    <row r="553" spans="9:9">
      <c r="I553" s="2"/>
    </row>
    <row r="554" spans="9:9">
      <c r="I554" s="2"/>
    </row>
    <row r="555" spans="9:9">
      <c r="I555" s="2"/>
    </row>
    <row r="556" spans="9:9">
      <c r="I556" s="2"/>
    </row>
    <row r="557" spans="9:9">
      <c r="I557" s="2"/>
    </row>
    <row r="558" spans="9:9">
      <c r="I558" s="2"/>
    </row>
    <row r="559" spans="9:9">
      <c r="I559" s="2"/>
    </row>
    <row r="560" spans="9:9">
      <c r="I560" s="2"/>
    </row>
    <row r="561" spans="9:9">
      <c r="I561" s="2"/>
    </row>
    <row r="562" spans="9:9">
      <c r="I562" s="2"/>
    </row>
    <row r="563" spans="9:9">
      <c r="I563" s="2"/>
    </row>
    <row r="564" spans="9:9">
      <c r="I564" s="2"/>
    </row>
    <row r="565" spans="9:9">
      <c r="I565" s="2"/>
    </row>
    <row r="566" spans="9:9">
      <c r="I566" s="2"/>
    </row>
    <row r="567" spans="9:9">
      <c r="I567" s="2"/>
    </row>
    <row r="568" spans="9:9">
      <c r="I568" s="2"/>
    </row>
    <row r="569" spans="9:9">
      <c r="I569" s="2"/>
    </row>
    <row r="570" spans="9:9">
      <c r="I570" s="2"/>
    </row>
    <row r="571" spans="9:9">
      <c r="I571" s="2"/>
    </row>
    <row r="572" spans="9:9">
      <c r="I572" s="2"/>
    </row>
    <row r="573" spans="9:9">
      <c r="I573" s="2"/>
    </row>
    <row r="574" spans="9:9">
      <c r="I574" s="2"/>
    </row>
    <row r="575" spans="9:9">
      <c r="I575" s="2"/>
    </row>
    <row r="576" spans="9:9">
      <c r="I576" s="2"/>
    </row>
    <row r="577" spans="9:9">
      <c r="I577" s="2"/>
    </row>
    <row r="578" spans="9:9">
      <c r="I578" s="2"/>
    </row>
    <row r="579" spans="9:9">
      <c r="I579" s="2"/>
    </row>
    <row r="580" spans="9:9">
      <c r="I580" s="2"/>
    </row>
    <row r="581" spans="9:9">
      <c r="I581" s="2"/>
    </row>
    <row r="582" spans="9:9">
      <c r="I582" s="2"/>
    </row>
    <row r="583" spans="9:9">
      <c r="I583" s="2"/>
    </row>
    <row r="584" spans="9:9">
      <c r="I584" s="2"/>
    </row>
    <row r="585" spans="9:9">
      <c r="I585" s="2"/>
    </row>
    <row r="586" spans="9:9">
      <c r="I586" s="2"/>
    </row>
    <row r="587" spans="9:9">
      <c r="I587" s="2"/>
    </row>
    <row r="588" spans="9:9">
      <c r="I588" s="2"/>
    </row>
    <row r="589" spans="9:9">
      <c r="I589" s="2"/>
    </row>
    <row r="590" spans="9:9">
      <c r="I590" s="2"/>
    </row>
    <row r="591" spans="9:9">
      <c r="I591" s="2"/>
    </row>
    <row r="592" spans="9:9">
      <c r="I592" s="2"/>
    </row>
    <row r="593" spans="9:9">
      <c r="I593" s="2"/>
    </row>
    <row r="594" spans="9:9">
      <c r="I594" s="2"/>
    </row>
    <row r="595" spans="9:9">
      <c r="I595" s="2"/>
    </row>
    <row r="596" spans="9:9">
      <c r="I596" s="2"/>
    </row>
    <row r="597" spans="9:9">
      <c r="I597" s="2"/>
    </row>
    <row r="598" spans="9:9">
      <c r="I598" s="2"/>
    </row>
    <row r="599" spans="9:9">
      <c r="I599" s="2"/>
    </row>
    <row r="600" spans="9:9">
      <c r="I600" s="2"/>
    </row>
    <row r="601" spans="9:9">
      <c r="I601" s="2"/>
    </row>
    <row r="602" spans="9:9">
      <c r="I602" s="2"/>
    </row>
    <row r="603" spans="9:9">
      <c r="I603" s="2"/>
    </row>
    <row r="604" spans="9:9">
      <c r="I604" s="2"/>
    </row>
    <row r="605" spans="9:9">
      <c r="I605" s="2"/>
    </row>
    <row r="606" spans="9:9">
      <c r="I606" s="2"/>
    </row>
    <row r="607" spans="9:9">
      <c r="I607" s="2"/>
    </row>
    <row r="608" spans="9:9">
      <c r="I608" s="2"/>
    </row>
    <row r="609" spans="9:9">
      <c r="I609" s="2"/>
    </row>
    <row r="610" spans="9:9">
      <c r="I610" s="2"/>
    </row>
    <row r="611" spans="9:9">
      <c r="I611" s="2"/>
    </row>
    <row r="612" spans="9:9">
      <c r="I612" s="2"/>
    </row>
    <row r="613" spans="9:9">
      <c r="I613" s="2"/>
    </row>
    <row r="614" spans="9:9">
      <c r="I614" s="2"/>
    </row>
    <row r="615" spans="9:9">
      <c r="I615" s="2"/>
    </row>
    <row r="616" spans="9:9">
      <c r="I616" s="2"/>
    </row>
    <row r="617" spans="9:9">
      <c r="I617" s="2"/>
    </row>
    <row r="618" spans="9:9">
      <c r="I618" s="2"/>
    </row>
    <row r="619" spans="9:9">
      <c r="I619" s="2"/>
    </row>
    <row r="620" spans="9:9">
      <c r="I620" s="2"/>
    </row>
    <row r="621" spans="9:9">
      <c r="I621" s="2"/>
    </row>
    <row r="622" spans="9:9">
      <c r="I622" s="2"/>
    </row>
    <row r="623" spans="9:9">
      <c r="I623" s="2"/>
    </row>
    <row r="624" spans="9:9">
      <c r="I624" s="2"/>
    </row>
    <row r="625" spans="9:9">
      <c r="I625" s="2"/>
    </row>
    <row r="626" spans="9:9">
      <c r="I626" s="2"/>
    </row>
    <row r="627" spans="9:9">
      <c r="I627" s="2"/>
    </row>
    <row r="628" spans="9:9">
      <c r="I628" s="2"/>
    </row>
    <row r="629" spans="9:9">
      <c r="I629" s="2"/>
    </row>
    <row r="630" spans="9:9">
      <c r="I630" s="2"/>
    </row>
    <row r="631" spans="9:9">
      <c r="I631" s="2"/>
    </row>
    <row r="632" spans="9:9">
      <c r="I632" s="2"/>
    </row>
    <row r="633" spans="9:9">
      <c r="I633" s="2"/>
    </row>
    <row r="634" spans="9:9">
      <c r="I634" s="2"/>
    </row>
    <row r="635" spans="9:9">
      <c r="I635" s="2"/>
    </row>
    <row r="636" spans="9:9">
      <c r="I636" s="2"/>
    </row>
    <row r="637" spans="9:9">
      <c r="I637" s="2"/>
    </row>
    <row r="638" spans="9:9">
      <c r="I638" s="2"/>
    </row>
    <row r="639" spans="9:9">
      <c r="I639" s="2"/>
    </row>
    <row r="640" spans="9:9">
      <c r="I640" s="2"/>
    </row>
    <row r="641" spans="9:9">
      <c r="I641" s="2"/>
    </row>
    <row r="642" spans="9:9">
      <c r="I642" s="2"/>
    </row>
    <row r="643" spans="9:9">
      <c r="I643" s="2"/>
    </row>
    <row r="644" spans="9:9">
      <c r="I644" s="2"/>
    </row>
    <row r="645" spans="9:9">
      <c r="I645" s="2"/>
    </row>
    <row r="646" spans="9:9">
      <c r="I646" s="2"/>
    </row>
    <row r="647" spans="9:9">
      <c r="I647" s="2"/>
    </row>
    <row r="648" spans="9:9">
      <c r="I648" s="2"/>
    </row>
    <row r="649" spans="9:9">
      <c r="I649" s="2"/>
    </row>
    <row r="650" spans="9:9">
      <c r="I650" s="2"/>
    </row>
    <row r="651" spans="9:9">
      <c r="I651" s="2"/>
    </row>
    <row r="652" spans="9:9">
      <c r="I652" s="2"/>
    </row>
    <row r="653" spans="9:9">
      <c r="I653" s="2"/>
    </row>
    <row r="654" spans="9:9">
      <c r="I654" s="2"/>
    </row>
    <row r="655" spans="9:9">
      <c r="I655" s="2"/>
    </row>
    <row r="656" spans="9:9">
      <c r="I656" s="2"/>
    </row>
    <row r="657" spans="9:9">
      <c r="I657" s="2"/>
    </row>
    <row r="658" spans="9:9">
      <c r="I658" s="2"/>
    </row>
    <row r="659" spans="9:9">
      <c r="I659" s="2"/>
    </row>
    <row r="660" spans="9:9">
      <c r="I660" s="2"/>
    </row>
    <row r="661" spans="9:9">
      <c r="I661" s="2"/>
    </row>
    <row r="662" spans="9:9">
      <c r="I662" s="2"/>
    </row>
    <row r="663" spans="9:9">
      <c r="I663" s="2"/>
    </row>
    <row r="664" spans="9:9">
      <c r="I664" s="2"/>
    </row>
    <row r="665" spans="9:9">
      <c r="I665" s="2"/>
    </row>
    <row r="666" spans="9:9">
      <c r="I666" s="2"/>
    </row>
    <row r="667" spans="9:9">
      <c r="I667" s="2"/>
    </row>
    <row r="668" spans="9:9">
      <c r="I668" s="2"/>
    </row>
    <row r="669" spans="9:9">
      <c r="I669" s="2"/>
    </row>
    <row r="670" spans="9:9">
      <c r="I670" s="2"/>
    </row>
    <row r="671" spans="9:9">
      <c r="I671" s="2"/>
    </row>
    <row r="672" spans="9:9">
      <c r="I672" s="2"/>
    </row>
    <row r="673" spans="9:9">
      <c r="I673" s="2"/>
    </row>
    <row r="674" spans="9:9">
      <c r="I674" s="2"/>
    </row>
    <row r="675" spans="9:9">
      <c r="I675" s="2"/>
    </row>
    <row r="676" spans="9:9">
      <c r="I676" s="2"/>
    </row>
    <row r="677" spans="9:9">
      <c r="I677" s="2"/>
    </row>
    <row r="678" spans="9:9">
      <c r="I678" s="2"/>
    </row>
    <row r="679" spans="9:9">
      <c r="I679" s="2"/>
    </row>
    <row r="680" spans="9:9">
      <c r="I680" s="2"/>
    </row>
    <row r="681" spans="9:9">
      <c r="I681" s="2"/>
    </row>
    <row r="682" spans="9:9">
      <c r="I682" s="2"/>
    </row>
    <row r="683" spans="9:9">
      <c r="I683" s="2"/>
    </row>
    <row r="684" spans="9:9">
      <c r="I684" s="2"/>
    </row>
    <row r="685" spans="9:9">
      <c r="I685" s="2"/>
    </row>
    <row r="686" spans="9:9">
      <c r="I686" s="2"/>
    </row>
    <row r="687" spans="9:9">
      <c r="I687" s="2"/>
    </row>
    <row r="688" spans="9:9">
      <c r="I688" s="2"/>
    </row>
    <row r="689" spans="9:9">
      <c r="I689" s="2"/>
    </row>
    <row r="690" spans="9:9">
      <c r="I690" s="2"/>
    </row>
    <row r="691" spans="9:9">
      <c r="I691" s="2"/>
    </row>
    <row r="692" spans="9:9">
      <c r="I692" s="2"/>
    </row>
    <row r="693" spans="9:9">
      <c r="I693" s="2"/>
    </row>
    <row r="694" spans="9:9">
      <c r="I694" s="2"/>
    </row>
    <row r="695" spans="9:9">
      <c r="I695" s="2"/>
    </row>
    <row r="696" spans="9:9">
      <c r="I696" s="2"/>
    </row>
    <row r="697" spans="9:9">
      <c r="I697" s="2"/>
    </row>
    <row r="698" spans="9:9">
      <c r="I698" s="2"/>
    </row>
    <row r="699" spans="9:9">
      <c r="I699" s="2"/>
    </row>
    <row r="700" spans="9:9">
      <c r="I700" s="2"/>
    </row>
    <row r="701" spans="9:9">
      <c r="I701" s="2"/>
    </row>
    <row r="702" spans="9:9">
      <c r="I702" s="2"/>
    </row>
    <row r="703" spans="9:9">
      <c r="I703" s="2"/>
    </row>
    <row r="704" spans="9:9">
      <c r="I704" s="2"/>
    </row>
    <row r="705" spans="9:9">
      <c r="I705" s="2"/>
    </row>
    <row r="706" spans="9:9">
      <c r="I706" s="2"/>
    </row>
    <row r="707" spans="9:9">
      <c r="I707" s="2"/>
    </row>
    <row r="708" spans="9:9">
      <c r="I708" s="2"/>
    </row>
    <row r="709" spans="9:9">
      <c r="I709" s="2"/>
    </row>
    <row r="710" spans="9:9">
      <c r="I710" s="2"/>
    </row>
    <row r="711" spans="9:9">
      <c r="I711" s="2"/>
    </row>
    <row r="712" spans="9:9">
      <c r="I712" s="2"/>
    </row>
    <row r="713" spans="9:9">
      <c r="I713" s="2"/>
    </row>
    <row r="714" spans="9:9">
      <c r="I714" s="2"/>
    </row>
    <row r="715" spans="9:9">
      <c r="I715" s="2"/>
    </row>
    <row r="716" spans="9:9">
      <c r="I716" s="2"/>
    </row>
    <row r="717" spans="9:9">
      <c r="I717" s="2"/>
    </row>
    <row r="718" spans="9:9">
      <c r="I718" s="2"/>
    </row>
    <row r="719" spans="9:9">
      <c r="I719" s="2"/>
    </row>
    <row r="720" spans="9:9">
      <c r="I720" s="2"/>
    </row>
    <row r="721" spans="9:9">
      <c r="I721" s="2"/>
    </row>
    <row r="722" spans="9:9">
      <c r="I722" s="2"/>
    </row>
    <row r="723" spans="9:9">
      <c r="I723" s="2"/>
    </row>
    <row r="724" spans="9:9">
      <c r="I724" s="2"/>
    </row>
    <row r="725" spans="9:9">
      <c r="I725" s="2"/>
    </row>
    <row r="726" spans="9:9">
      <c r="I726" s="2"/>
    </row>
    <row r="727" spans="9:9">
      <c r="I727" s="2"/>
    </row>
    <row r="728" spans="9:9">
      <c r="I728" s="2"/>
    </row>
    <row r="729" spans="9:9">
      <c r="I729" s="2"/>
    </row>
    <row r="730" spans="9:9">
      <c r="I730" s="2"/>
    </row>
    <row r="731" spans="9:9">
      <c r="I731" s="2"/>
    </row>
    <row r="732" spans="9:9">
      <c r="I732" s="2"/>
    </row>
    <row r="733" spans="9:9">
      <c r="I733" s="2"/>
    </row>
    <row r="734" spans="9:9">
      <c r="I734" s="2"/>
    </row>
    <row r="735" spans="9:9">
      <c r="I735" s="2"/>
    </row>
    <row r="736" spans="9:9">
      <c r="I736" s="2"/>
    </row>
    <row r="737" spans="9:9">
      <c r="I737" s="2"/>
    </row>
    <row r="738" spans="9:9">
      <c r="I738" s="2"/>
    </row>
    <row r="739" spans="9:9">
      <c r="I739" s="2"/>
    </row>
    <row r="740" spans="9:9">
      <c r="I740" s="2"/>
    </row>
    <row r="741" spans="9:9">
      <c r="I741" s="2"/>
    </row>
    <row r="742" spans="9:9">
      <c r="I742" s="2"/>
    </row>
    <row r="743" spans="9:9">
      <c r="I743" s="2"/>
    </row>
    <row r="744" spans="9:9">
      <c r="I744" s="2"/>
    </row>
    <row r="745" spans="9:9">
      <c r="I745" s="2"/>
    </row>
    <row r="746" spans="9:9">
      <c r="I746" s="2"/>
    </row>
    <row r="747" spans="9:9">
      <c r="I747" s="2"/>
    </row>
    <row r="748" spans="9:9">
      <c r="I748" s="2"/>
    </row>
    <row r="749" spans="9:9">
      <c r="I749" s="2"/>
    </row>
    <row r="750" spans="9:9">
      <c r="I750" s="2"/>
    </row>
    <row r="751" spans="9:9">
      <c r="I751" s="2"/>
    </row>
    <row r="752" spans="9:9">
      <c r="I752" s="2"/>
    </row>
    <row r="753" spans="9:9">
      <c r="I753" s="2"/>
    </row>
    <row r="754" spans="9:9">
      <c r="I754" s="2"/>
    </row>
    <row r="755" spans="9:9">
      <c r="I755" s="2"/>
    </row>
    <row r="756" spans="9:9">
      <c r="I756" s="2"/>
    </row>
    <row r="757" spans="9:9">
      <c r="I757" s="2"/>
    </row>
    <row r="758" spans="9:9">
      <c r="I758" s="2"/>
    </row>
    <row r="759" spans="9:9">
      <c r="I759" s="2"/>
    </row>
    <row r="760" spans="9:9">
      <c r="I760" s="2"/>
    </row>
    <row r="761" spans="9:9">
      <c r="I761" s="2"/>
    </row>
    <row r="762" spans="9:9">
      <c r="I762" s="2"/>
    </row>
    <row r="763" spans="9:9">
      <c r="I763" s="2"/>
    </row>
    <row r="764" spans="9:9">
      <c r="I764" s="2"/>
    </row>
    <row r="765" spans="9:9">
      <c r="I765" s="2"/>
    </row>
    <row r="766" spans="9:9">
      <c r="I766" s="2"/>
    </row>
    <row r="767" spans="9:9">
      <c r="I767" s="2"/>
    </row>
    <row r="768" spans="9:9">
      <c r="I768" s="2"/>
    </row>
    <row r="769" spans="9:9">
      <c r="I769" s="2"/>
    </row>
    <row r="770" spans="9:9">
      <c r="I770" s="2"/>
    </row>
    <row r="771" spans="9:9">
      <c r="I771" s="2"/>
    </row>
    <row r="772" spans="9:9">
      <c r="I772" s="2"/>
    </row>
    <row r="773" spans="9:9">
      <c r="I773" s="2"/>
    </row>
    <row r="774" spans="9:9">
      <c r="I774" s="2"/>
    </row>
    <row r="775" spans="9:9">
      <c r="I775" s="2"/>
    </row>
    <row r="776" spans="9:9">
      <c r="I776" s="2"/>
    </row>
    <row r="777" spans="9:9">
      <c r="I777" s="2"/>
    </row>
    <row r="778" spans="9:9">
      <c r="I778" s="2"/>
    </row>
    <row r="779" spans="9:9">
      <c r="I779" s="2"/>
    </row>
    <row r="780" spans="9:9">
      <c r="I780" s="2"/>
    </row>
    <row r="781" spans="9:9">
      <c r="I781" s="2"/>
    </row>
    <row r="782" spans="9:9">
      <c r="I782" s="2"/>
    </row>
    <row r="783" spans="9:9">
      <c r="I783" s="2"/>
    </row>
    <row r="784" spans="9:9">
      <c r="I784" s="2"/>
    </row>
    <row r="785" spans="9:9">
      <c r="I785" s="2"/>
    </row>
    <row r="786" spans="9:9">
      <c r="I786" s="2"/>
    </row>
    <row r="787" spans="9:9">
      <c r="I787" s="2"/>
    </row>
    <row r="788" spans="9:9">
      <c r="I788" s="2"/>
    </row>
    <row r="789" spans="9:9">
      <c r="I789" s="2"/>
    </row>
    <row r="790" spans="9:9">
      <c r="I790" s="2"/>
    </row>
    <row r="791" spans="9:9">
      <c r="I791" s="2"/>
    </row>
    <row r="792" spans="9:9">
      <c r="I792" s="2"/>
    </row>
    <row r="793" spans="9:9">
      <c r="I793" s="2"/>
    </row>
    <row r="794" spans="9:9">
      <c r="I794" s="2"/>
    </row>
    <row r="795" spans="9:9">
      <c r="I795" s="2"/>
    </row>
    <row r="796" spans="9:9">
      <c r="I796" s="2"/>
    </row>
    <row r="797" spans="9:9">
      <c r="I797" s="2"/>
    </row>
    <row r="798" spans="9:9">
      <c r="I798" s="2"/>
    </row>
    <row r="799" spans="9:9">
      <c r="I799" s="2"/>
    </row>
    <row r="800" spans="9:9">
      <c r="I800" s="2"/>
    </row>
    <row r="801" spans="9:9">
      <c r="I801" s="2"/>
    </row>
    <row r="802" spans="9:9">
      <c r="I802" s="2"/>
    </row>
    <row r="803" spans="9:9">
      <c r="I803" s="2"/>
    </row>
    <row r="804" spans="9:9">
      <c r="I804" s="2"/>
    </row>
    <row r="805" spans="9:9">
      <c r="I805" s="2"/>
    </row>
    <row r="806" spans="9:9">
      <c r="I806" s="2"/>
    </row>
    <row r="807" spans="9:9">
      <c r="I807" s="2"/>
    </row>
    <row r="808" spans="9:9">
      <c r="I808" s="2"/>
    </row>
    <row r="809" spans="9:9">
      <c r="I809" s="2"/>
    </row>
    <row r="810" spans="9:9">
      <c r="I810" s="2"/>
    </row>
    <row r="811" spans="9:9">
      <c r="I811" s="2"/>
    </row>
    <row r="812" spans="9:9">
      <c r="I812" s="2"/>
    </row>
    <row r="813" spans="9:9">
      <c r="I813" s="2"/>
    </row>
    <row r="814" spans="9:9">
      <c r="I814" s="2"/>
    </row>
    <row r="815" spans="9:9">
      <c r="I815" s="2"/>
    </row>
    <row r="816" spans="9:9">
      <c r="I816" s="2"/>
    </row>
    <row r="817" spans="9:9">
      <c r="I817" s="2"/>
    </row>
    <row r="818" spans="9:9">
      <c r="I818" s="2"/>
    </row>
    <row r="819" spans="9:9">
      <c r="I819" s="2"/>
    </row>
    <row r="820" spans="9:9">
      <c r="I820" s="2"/>
    </row>
    <row r="821" spans="9:9">
      <c r="I821" s="2"/>
    </row>
    <row r="822" spans="9:9">
      <c r="I822" s="2"/>
    </row>
    <row r="823" spans="9:9">
      <c r="I823" s="2"/>
    </row>
    <row r="824" spans="9:9">
      <c r="I824" s="2"/>
    </row>
    <row r="825" spans="9:9">
      <c r="I825" s="2"/>
    </row>
    <row r="826" spans="9:9">
      <c r="I826" s="2"/>
    </row>
    <row r="827" spans="9:9">
      <c r="I827" s="2"/>
    </row>
    <row r="828" spans="9:9">
      <c r="I828" s="2"/>
    </row>
    <row r="829" spans="9:9">
      <c r="I829" s="2"/>
    </row>
    <row r="830" spans="9:9">
      <c r="I830" s="2"/>
    </row>
    <row r="831" spans="9:9">
      <c r="I831" s="2"/>
    </row>
    <row r="832" spans="9:9">
      <c r="I832" s="2"/>
    </row>
    <row r="833" spans="9:9">
      <c r="I833" s="2"/>
    </row>
    <row r="834" spans="9:9">
      <c r="I834" s="2"/>
    </row>
    <row r="835" spans="9:9">
      <c r="I835" s="2"/>
    </row>
    <row r="836" spans="9:9">
      <c r="I836" s="2"/>
    </row>
    <row r="837" spans="9:9">
      <c r="I837" s="2"/>
    </row>
    <row r="838" spans="9:9">
      <c r="I838" s="2"/>
    </row>
    <row r="839" spans="9:9">
      <c r="I839" s="2"/>
    </row>
    <row r="840" spans="9:9">
      <c r="I840" s="2"/>
    </row>
    <row r="841" spans="9:9">
      <c r="I841" s="2"/>
    </row>
    <row r="842" spans="9:9">
      <c r="I842" s="2"/>
    </row>
    <row r="843" spans="9:9">
      <c r="I843" s="2"/>
    </row>
    <row r="844" spans="9:9">
      <c r="I844" s="2"/>
    </row>
    <row r="845" spans="9:9">
      <c r="I845" s="2"/>
    </row>
    <row r="846" spans="9:9">
      <c r="I846" s="2"/>
    </row>
    <row r="847" spans="9:9">
      <c r="I847" s="2"/>
    </row>
    <row r="848" spans="9:9">
      <c r="I848" s="2"/>
    </row>
    <row r="849" spans="9:9">
      <c r="I849" s="2"/>
    </row>
    <row r="850" spans="9:9">
      <c r="I850" s="2"/>
    </row>
    <row r="851" spans="9:9">
      <c r="I851" s="2"/>
    </row>
    <row r="852" spans="9:9">
      <c r="I852" s="2"/>
    </row>
    <row r="853" spans="9:9">
      <c r="I853" s="2"/>
    </row>
    <row r="854" spans="9:9">
      <c r="I854" s="2"/>
    </row>
    <row r="855" spans="9:9">
      <c r="I855" s="2"/>
    </row>
    <row r="856" spans="9:9">
      <c r="I856" s="2"/>
    </row>
    <row r="857" spans="9:9">
      <c r="I857" s="2"/>
    </row>
    <row r="858" spans="9:9">
      <c r="I858" s="2"/>
    </row>
    <row r="859" spans="9:9">
      <c r="I859" s="2"/>
    </row>
    <row r="860" spans="9:9">
      <c r="I860" s="2"/>
    </row>
    <row r="861" spans="9:9">
      <c r="I861" s="2"/>
    </row>
    <row r="862" spans="9:9">
      <c r="I862" s="2"/>
    </row>
    <row r="863" spans="9:9">
      <c r="I863" s="2"/>
    </row>
    <row r="864" spans="9:9">
      <c r="I864" s="2"/>
    </row>
    <row r="865" spans="9:9">
      <c r="I865" s="2"/>
    </row>
    <row r="866" spans="9:9">
      <c r="I866" s="2"/>
    </row>
    <row r="867" spans="9:9">
      <c r="I867" s="2"/>
    </row>
    <row r="868" spans="9:9">
      <c r="I868" s="2"/>
    </row>
    <row r="869" spans="9:9">
      <c r="I869" s="2"/>
    </row>
    <row r="870" spans="9:9">
      <c r="I870" s="2"/>
    </row>
    <row r="871" spans="9:9">
      <c r="I871" s="2"/>
    </row>
    <row r="872" spans="9:9">
      <c r="I872" s="2"/>
    </row>
    <row r="873" spans="9:9">
      <c r="I873" s="2"/>
    </row>
    <row r="874" spans="9:9">
      <c r="I874" s="2"/>
    </row>
    <row r="875" spans="9:9">
      <c r="I875" s="2"/>
    </row>
    <row r="876" spans="9:9">
      <c r="I876" s="2"/>
    </row>
    <row r="877" spans="9:9">
      <c r="I877" s="2"/>
    </row>
    <row r="878" spans="9:9">
      <c r="I878" s="2"/>
    </row>
    <row r="879" spans="9:9">
      <c r="I879" s="2"/>
    </row>
    <row r="880" spans="9:9">
      <c r="I880" s="2"/>
    </row>
    <row r="881" spans="9:9">
      <c r="I881" s="2"/>
    </row>
    <row r="882" spans="9:9">
      <c r="I882" s="2"/>
    </row>
    <row r="883" spans="9:9">
      <c r="I883" s="2"/>
    </row>
    <row r="884" spans="9:9">
      <c r="I884" s="2"/>
    </row>
    <row r="885" spans="9:9">
      <c r="I885" s="2"/>
    </row>
    <row r="886" spans="9:9">
      <c r="I886" s="2"/>
    </row>
    <row r="887" spans="9:9">
      <c r="I887" s="2"/>
    </row>
    <row r="888" spans="9:9">
      <c r="I888" s="2"/>
    </row>
    <row r="889" spans="9:9">
      <c r="I889" s="2"/>
    </row>
    <row r="890" spans="9:9">
      <c r="I890" s="2"/>
    </row>
    <row r="891" spans="9:9">
      <c r="I891" s="2"/>
    </row>
    <row r="892" spans="9:9">
      <c r="I892" s="2"/>
    </row>
    <row r="893" spans="9:9">
      <c r="I893" s="2"/>
    </row>
    <row r="894" spans="9:9">
      <c r="I894" s="2"/>
    </row>
    <row r="895" spans="9:9">
      <c r="I895" s="2"/>
    </row>
    <row r="896" spans="9:9">
      <c r="I896" s="2"/>
    </row>
    <row r="897" spans="9:9">
      <c r="I897" s="2"/>
    </row>
    <row r="898" spans="9:9">
      <c r="I898" s="2"/>
    </row>
    <row r="899" spans="9:9">
      <c r="I899" s="2"/>
    </row>
    <row r="900" spans="9:9">
      <c r="I900" s="2"/>
    </row>
    <row r="901" spans="9:9">
      <c r="I901" s="2"/>
    </row>
    <row r="902" spans="9:9">
      <c r="I902" s="2"/>
    </row>
    <row r="903" spans="9:9">
      <c r="I903" s="2"/>
    </row>
    <row r="904" spans="9:9">
      <c r="I904" s="2"/>
    </row>
    <row r="905" spans="9:9">
      <c r="I905" s="2"/>
    </row>
    <row r="906" spans="9:9">
      <c r="I906" s="2"/>
    </row>
    <row r="907" spans="9:9">
      <c r="I907" s="2"/>
    </row>
    <row r="908" spans="9:9">
      <c r="I908" s="2"/>
    </row>
    <row r="909" spans="9:9">
      <c r="I909" s="2"/>
    </row>
    <row r="910" spans="9:9">
      <c r="I910" s="2"/>
    </row>
    <row r="911" spans="9:9">
      <c r="I911" s="2"/>
    </row>
    <row r="912" spans="9:9">
      <c r="I912" s="2"/>
    </row>
    <row r="913" spans="9:9">
      <c r="I913" s="2"/>
    </row>
    <row r="914" spans="9:9">
      <c r="I914" s="2"/>
    </row>
    <row r="915" spans="9:9">
      <c r="I915" s="2"/>
    </row>
    <row r="916" spans="9:9">
      <c r="I916" s="2"/>
    </row>
    <row r="917" spans="9:9">
      <c r="I917" s="2"/>
    </row>
    <row r="918" spans="9:9">
      <c r="I918" s="2"/>
    </row>
    <row r="919" spans="9:9">
      <c r="I919" s="2"/>
    </row>
    <row r="920" spans="9:9">
      <c r="I920" s="2"/>
    </row>
    <row r="921" spans="9:9">
      <c r="I921" s="2"/>
    </row>
    <row r="922" spans="9:9">
      <c r="I922" s="2"/>
    </row>
    <row r="923" spans="9:9">
      <c r="I923" s="2"/>
    </row>
    <row r="924" spans="9:9">
      <c r="I924" s="2"/>
    </row>
    <row r="925" spans="9:9">
      <c r="I925" s="2"/>
    </row>
    <row r="926" spans="9:9">
      <c r="I926" s="2"/>
    </row>
    <row r="927" spans="9:9">
      <c r="I927" s="2"/>
    </row>
    <row r="928" spans="9:9">
      <c r="I928" s="2"/>
    </row>
    <row r="929" spans="9:9">
      <c r="I929" s="2"/>
    </row>
    <row r="930" spans="9:9">
      <c r="I930" s="2"/>
    </row>
    <row r="931" spans="9:9">
      <c r="I931" s="2"/>
    </row>
    <row r="932" spans="9:9">
      <c r="I932" s="2"/>
    </row>
    <row r="933" spans="9:9">
      <c r="I933" s="2"/>
    </row>
    <row r="934" spans="9:9">
      <c r="I934" s="2"/>
    </row>
    <row r="935" spans="9:9">
      <c r="I935" s="2"/>
    </row>
    <row r="936" spans="9:9">
      <c r="I936" s="2"/>
    </row>
    <row r="937" spans="9:9">
      <c r="I937" s="2"/>
    </row>
    <row r="938" spans="9:9">
      <c r="I938" s="2"/>
    </row>
    <row r="939" spans="9:9">
      <c r="I939" s="2"/>
    </row>
    <row r="940" spans="9:9">
      <c r="I940" s="2"/>
    </row>
    <row r="941" spans="9:9">
      <c r="I941" s="2"/>
    </row>
    <row r="942" spans="9:9">
      <c r="I942" s="2"/>
    </row>
    <row r="943" spans="9:9">
      <c r="I943" s="2"/>
    </row>
    <row r="944" spans="9:9">
      <c r="I944" s="2"/>
    </row>
    <row r="945" spans="9:9">
      <c r="I945" s="2"/>
    </row>
    <row r="946" spans="9:9">
      <c r="I946" s="2"/>
    </row>
    <row r="947" spans="9:9">
      <c r="I947" s="2"/>
    </row>
    <row r="948" spans="9:9">
      <c r="I948" s="2"/>
    </row>
    <row r="949" spans="9:9">
      <c r="I949" s="2"/>
    </row>
    <row r="950" spans="9:9">
      <c r="I950" s="2"/>
    </row>
    <row r="951" spans="9:9">
      <c r="I951" s="2"/>
    </row>
    <row r="952" spans="9:9">
      <c r="I952" s="2"/>
    </row>
    <row r="953" spans="9:9">
      <c r="I953" s="2"/>
    </row>
    <row r="954" spans="9:9">
      <c r="I954" s="2"/>
    </row>
    <row r="955" spans="9:9">
      <c r="I955" s="2"/>
    </row>
    <row r="956" spans="9:9">
      <c r="I956" s="2"/>
    </row>
    <row r="957" spans="9:9">
      <c r="I957" s="2"/>
    </row>
    <row r="958" spans="9:9">
      <c r="I958" s="2"/>
    </row>
    <row r="959" spans="9:9">
      <c r="I959" s="2"/>
    </row>
    <row r="960" spans="9:9">
      <c r="I960" s="2"/>
    </row>
    <row r="961" spans="9:9">
      <c r="I961" s="2"/>
    </row>
    <row r="962" spans="9:9">
      <c r="I962" s="2"/>
    </row>
    <row r="963" spans="9:9">
      <c r="I963" s="2"/>
    </row>
    <row r="964" spans="9:9">
      <c r="I964" s="2"/>
    </row>
    <row r="965" spans="9:9">
      <c r="I965" s="2"/>
    </row>
    <row r="966" spans="9:9">
      <c r="I966" s="2"/>
    </row>
    <row r="967" spans="9:9">
      <c r="I967" s="2"/>
    </row>
    <row r="968" spans="9:9">
      <c r="I968" s="2"/>
    </row>
    <row r="969" spans="9:9">
      <c r="I969" s="2"/>
    </row>
    <row r="970" spans="9:9">
      <c r="I970" s="2"/>
    </row>
    <row r="971" spans="9:9">
      <c r="I971" s="2"/>
    </row>
    <row r="972" spans="9:9">
      <c r="I972" s="2"/>
    </row>
    <row r="973" spans="9:9">
      <c r="I973" s="2"/>
    </row>
    <row r="974" spans="9:9">
      <c r="I974" s="2"/>
    </row>
    <row r="975" spans="9:9">
      <c r="I975" s="2"/>
    </row>
    <row r="976" spans="9:9">
      <c r="I976" s="2"/>
    </row>
    <row r="977" spans="9:9">
      <c r="I977" s="2"/>
    </row>
    <row r="978" spans="9:9">
      <c r="I978" s="2"/>
    </row>
    <row r="979" spans="9:9">
      <c r="I979" s="2"/>
    </row>
    <row r="980" spans="9:9">
      <c r="I980" s="2"/>
    </row>
    <row r="981" spans="9:9">
      <c r="I981" s="2"/>
    </row>
    <row r="982" spans="9:9">
      <c r="I982" s="2"/>
    </row>
    <row r="983" spans="9:9">
      <c r="I983" s="2"/>
    </row>
    <row r="984" spans="9:9">
      <c r="I984" s="2"/>
    </row>
    <row r="985" spans="9:9">
      <c r="I985" s="2"/>
    </row>
    <row r="986" spans="9:9">
      <c r="I986" s="2"/>
    </row>
    <row r="987" spans="9:9">
      <c r="I987" s="2"/>
    </row>
    <row r="988" spans="9:9">
      <c r="I988" s="2"/>
    </row>
    <row r="989" spans="9:9">
      <c r="I989" s="2"/>
    </row>
    <row r="990" spans="9:9">
      <c r="I990" s="2"/>
    </row>
    <row r="991" spans="9:9">
      <c r="I991" s="2"/>
    </row>
    <row r="992" spans="9:9">
      <c r="I992" s="2"/>
    </row>
    <row r="993" spans="9:9">
      <c r="I993" s="2"/>
    </row>
    <row r="994" spans="9:9">
      <c r="I994" s="2"/>
    </row>
    <row r="995" spans="9:9">
      <c r="I995" s="2"/>
    </row>
    <row r="996" spans="9:9">
      <c r="I996" s="2"/>
    </row>
    <row r="997" spans="9:9">
      <c r="I997" s="2"/>
    </row>
    <row r="998" spans="9:9">
      <c r="I998" s="2"/>
    </row>
    <row r="999" spans="9:9">
      <c r="I999" s="2"/>
    </row>
    <row r="1000" spans="9:9">
      <c r="I1000" s="2"/>
    </row>
    <row r="1001" spans="9:9">
      <c r="I1001" s="2"/>
    </row>
    <row r="1002" spans="9:9">
      <c r="I1002" s="2"/>
    </row>
    <row r="1003" spans="9:9">
      <c r="I1003" s="2"/>
    </row>
    <row r="1004" spans="9:9">
      <c r="I1004" s="2"/>
    </row>
    <row r="1005" spans="9:9">
      <c r="I1005" s="2"/>
    </row>
    <row r="1006" spans="9:9">
      <c r="I1006" s="2"/>
    </row>
    <row r="1007" spans="9:9">
      <c r="I1007" s="2"/>
    </row>
    <row r="1008" spans="9:9">
      <c r="I1008" s="2"/>
    </row>
    <row r="1009" spans="9:9">
      <c r="I1009" s="2"/>
    </row>
    <row r="1010" spans="9:9">
      <c r="I1010" s="2"/>
    </row>
    <row r="1011" spans="9:9">
      <c r="I1011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P53"/>
  <sheetViews>
    <sheetView workbookViewId="0"/>
  </sheetViews>
  <sheetFormatPr defaultColWidth="12.6640625" defaultRowHeight="15.75" customHeight="1"/>
  <sheetData>
    <row r="1" spans="1:13">
      <c r="A1" s="7" t="s">
        <v>210</v>
      </c>
      <c r="B1" s="7"/>
      <c r="C1" s="1"/>
      <c r="D1" s="1"/>
      <c r="F1" s="1"/>
      <c r="G1" s="1"/>
      <c r="H1" s="1"/>
      <c r="I1" s="1"/>
      <c r="J1" s="5"/>
      <c r="K1" s="1"/>
    </row>
    <row r="2" spans="1:13">
      <c r="B2" s="7"/>
      <c r="C2" s="1"/>
      <c r="D2" s="1"/>
      <c r="F2" s="1"/>
      <c r="G2" s="1"/>
      <c r="H2" s="1"/>
      <c r="I2" s="1"/>
      <c r="J2" s="5"/>
      <c r="K2" s="1"/>
    </row>
    <row r="3" spans="1:13">
      <c r="C3" s="1" t="s">
        <v>2</v>
      </c>
      <c r="D3" s="1" t="s">
        <v>3</v>
      </c>
      <c r="E3" s="1" t="s">
        <v>13</v>
      </c>
      <c r="F3" s="1"/>
      <c r="G3" s="1" t="s">
        <v>4</v>
      </c>
      <c r="H3" s="1" t="s">
        <v>5</v>
      </c>
      <c r="I3" s="1" t="s">
        <v>6</v>
      </c>
      <c r="J3" s="1" t="s">
        <v>10</v>
      </c>
      <c r="K3" s="1" t="s">
        <v>11</v>
      </c>
      <c r="L3" s="1" t="s">
        <v>13</v>
      </c>
    </row>
    <row r="4" spans="1:13">
      <c r="B4" s="7" t="s">
        <v>19</v>
      </c>
      <c r="C4" s="1">
        <v>5.968</v>
      </c>
      <c r="D4" s="1">
        <v>9.3209999999999997</v>
      </c>
      <c r="E4" s="1">
        <f t="shared" ref="E4:E8" si="0">AVERAGE(C4:D4)</f>
        <v>7.6444999999999999</v>
      </c>
      <c r="F4" s="1"/>
      <c r="G4" s="1">
        <v>0.51100000000000001</v>
      </c>
      <c r="H4" s="1">
        <v>0.80600000000000005</v>
      </c>
      <c r="I4" s="1">
        <v>0.79400000000000004</v>
      </c>
      <c r="J4" s="5">
        <v>0.79800000000000004</v>
      </c>
      <c r="K4" s="1">
        <v>0.63500000000000001</v>
      </c>
      <c r="L4" s="1">
        <f t="shared" ref="L4:L9" si="1">AVERAGE(G4,H4,I4,J4,K4)</f>
        <v>0.7088000000000001</v>
      </c>
      <c r="M4" s="1" t="s">
        <v>211</v>
      </c>
    </row>
    <row r="5" spans="1:13">
      <c r="A5" s="7"/>
      <c r="B5" s="21" t="s">
        <v>29</v>
      </c>
      <c r="C5" s="1">
        <v>5.9489999999999998</v>
      </c>
      <c r="D5" s="1">
        <v>9.2940000000000005</v>
      </c>
      <c r="E5" s="1">
        <f t="shared" si="0"/>
        <v>7.6215000000000002</v>
      </c>
      <c r="F5" s="5"/>
      <c r="G5" s="5">
        <v>0.51200000000000001</v>
      </c>
      <c r="H5" s="1">
        <v>0.80800000000000005</v>
      </c>
      <c r="I5" s="5">
        <v>0.79600000000000004</v>
      </c>
      <c r="J5" s="5">
        <v>0.79600000000000004</v>
      </c>
      <c r="K5" s="5">
        <v>0.67100000000000004</v>
      </c>
      <c r="L5" s="5">
        <f t="shared" si="1"/>
        <v>0.71660000000000001</v>
      </c>
      <c r="M5" s="1" t="s">
        <v>211</v>
      </c>
    </row>
    <row r="6" spans="1:13">
      <c r="B6" s="1" t="s">
        <v>212</v>
      </c>
      <c r="C6" s="1">
        <v>5.9458900000000003</v>
      </c>
      <c r="D6" s="5">
        <v>9.2927999999999997</v>
      </c>
      <c r="E6" s="96">
        <f t="shared" si="0"/>
        <v>7.619345</v>
      </c>
      <c r="F6" s="1"/>
      <c r="G6" s="1">
        <v>0.50597000000000003</v>
      </c>
      <c r="H6" s="1">
        <v>0.80681999999999998</v>
      </c>
      <c r="I6" s="1">
        <v>0.79357999999999995</v>
      </c>
      <c r="J6" s="1">
        <v>0.79542999999999997</v>
      </c>
      <c r="K6" s="1">
        <v>0.65703999999999996</v>
      </c>
      <c r="L6" s="1">
        <f t="shared" si="1"/>
        <v>0.71176799999999996</v>
      </c>
      <c r="M6" s="1" t="s">
        <v>213</v>
      </c>
    </row>
    <row r="7" spans="1:13">
      <c r="B7" s="1" t="s">
        <v>214</v>
      </c>
      <c r="C7" s="1">
        <v>5.9458700000000002</v>
      </c>
      <c r="D7" s="1">
        <v>9.2958700000000007</v>
      </c>
      <c r="E7" s="1">
        <f t="shared" si="0"/>
        <v>7.62087</v>
      </c>
      <c r="F7" s="1"/>
      <c r="G7" s="1">
        <v>0.5</v>
      </c>
      <c r="H7" s="1">
        <v>0.80708000000000002</v>
      </c>
      <c r="I7" s="1">
        <v>0.78898999999999997</v>
      </c>
      <c r="J7" s="1">
        <v>0.79596999999999996</v>
      </c>
      <c r="K7" s="1">
        <v>0.66508999999999996</v>
      </c>
      <c r="L7" s="1">
        <f t="shared" si="1"/>
        <v>0.711426</v>
      </c>
      <c r="M7" s="1" t="s">
        <v>213</v>
      </c>
    </row>
    <row r="8" spans="1:13">
      <c r="B8" s="1" t="s">
        <v>215</v>
      </c>
      <c r="C8" s="5">
        <v>5.9428299999999998</v>
      </c>
      <c r="D8" s="1">
        <v>9.2901399999999992</v>
      </c>
      <c r="E8" s="1">
        <f t="shared" si="0"/>
        <v>7.6164849999999991</v>
      </c>
      <c r="G8" s="5">
        <v>0.51280000000000003</v>
      </c>
      <c r="H8" s="5">
        <v>0.80766000000000004</v>
      </c>
      <c r="I8" s="5">
        <v>0.79632999999999998</v>
      </c>
      <c r="J8" s="5">
        <v>0.79652000000000001</v>
      </c>
      <c r="K8" s="5">
        <v>0.67147999999999997</v>
      </c>
      <c r="L8" s="5">
        <f t="shared" si="1"/>
        <v>0.71695799999999998</v>
      </c>
      <c r="M8" s="1" t="s">
        <v>213</v>
      </c>
    </row>
    <row r="9" spans="1:13">
      <c r="B9" s="1" t="s">
        <v>201</v>
      </c>
      <c r="C9" s="1">
        <v>5.9676099999999996</v>
      </c>
      <c r="D9" s="1">
        <v>9.3219799999999999</v>
      </c>
      <c r="G9" s="1">
        <v>0.51109000000000004</v>
      </c>
      <c r="H9" s="1">
        <v>0.80681999999999998</v>
      </c>
      <c r="I9" s="1">
        <v>0.79540999999999995</v>
      </c>
      <c r="J9" s="1">
        <v>0.79923999999999995</v>
      </c>
      <c r="K9" s="1">
        <v>0.63537999999999994</v>
      </c>
      <c r="L9" s="1">
        <f t="shared" si="1"/>
        <v>0.709588</v>
      </c>
      <c r="M9" s="1" t="s">
        <v>216</v>
      </c>
    </row>
    <row r="10" spans="1:13">
      <c r="B10" s="1"/>
      <c r="C10" s="1"/>
      <c r="D10" s="1"/>
      <c r="G10" s="1"/>
      <c r="H10" s="1"/>
      <c r="I10" s="1"/>
      <c r="J10" s="1"/>
      <c r="K10" s="1"/>
    </row>
    <row r="11" spans="1:13">
      <c r="B11" s="1" t="s">
        <v>217</v>
      </c>
      <c r="C11" s="1">
        <v>5.9458700000000002</v>
      </c>
      <c r="D11" s="1">
        <v>9.2958700000000007</v>
      </c>
      <c r="G11" s="1">
        <v>0.50085000000000002</v>
      </c>
      <c r="H11" s="1">
        <v>0.80708000000000002</v>
      </c>
      <c r="I11" s="1">
        <v>0.78837999999999997</v>
      </c>
      <c r="J11" s="1">
        <v>0.79542999999999997</v>
      </c>
      <c r="K11" s="1">
        <v>0.66508999999999996</v>
      </c>
      <c r="L11" s="1">
        <f>AVERAGE(G11,H11,I11,J11,K11)</f>
        <v>0.71136599999999994</v>
      </c>
      <c r="M11" s="1" t="s">
        <v>216</v>
      </c>
    </row>
    <row r="12" spans="1:13">
      <c r="B12" s="1" t="s">
        <v>218</v>
      </c>
      <c r="C12" s="1">
        <v>5.9458700000000002</v>
      </c>
      <c r="D12" s="1">
        <v>9.2958700000000007</v>
      </c>
      <c r="G12" s="1">
        <v>5.5008499999999998</v>
      </c>
      <c r="H12" s="1">
        <v>0.80708000000000002</v>
      </c>
      <c r="I12" s="1"/>
      <c r="J12" s="1"/>
      <c r="K12" s="1"/>
      <c r="M12" s="1"/>
    </row>
    <row r="13" spans="1:13">
      <c r="B13" s="1" t="s">
        <v>219</v>
      </c>
      <c r="C13" s="1">
        <v>5.9458900000000003</v>
      </c>
      <c r="D13" s="1">
        <v>9.2927999999999997</v>
      </c>
      <c r="G13" s="1">
        <v>0.50597000000000003</v>
      </c>
      <c r="H13" s="1">
        <v>0.80681999999999998</v>
      </c>
      <c r="I13" s="1">
        <v>0.79357999999999995</v>
      </c>
      <c r="J13" s="1">
        <v>0.79542999999999997</v>
      </c>
      <c r="K13" s="1">
        <v>0.65703999999999996</v>
      </c>
      <c r="L13" s="1">
        <f>AVERAGE(G13,H13,I13,J13,K13)</f>
        <v>0.71176799999999996</v>
      </c>
      <c r="M13" s="1" t="s">
        <v>216</v>
      </c>
    </row>
    <row r="14" spans="1:13">
      <c r="B14" s="1" t="s">
        <v>220</v>
      </c>
      <c r="C14" s="1">
        <v>5.9458900000000003</v>
      </c>
      <c r="D14" s="1">
        <v>9.2927999999999997</v>
      </c>
      <c r="G14" s="1">
        <v>0.50597000000000003</v>
      </c>
      <c r="H14" s="1">
        <v>0.80681999999999998</v>
      </c>
      <c r="I14" s="1"/>
      <c r="J14" s="1"/>
      <c r="K14" s="1"/>
      <c r="M14" s="1"/>
    </row>
    <row r="15" spans="1:13">
      <c r="B15" s="1" t="s">
        <v>221</v>
      </c>
      <c r="C15" s="1">
        <v>5.9528299999999996</v>
      </c>
      <c r="D15" s="1">
        <v>9.2991399999999995</v>
      </c>
      <c r="G15" s="1">
        <v>0.51195000000000002</v>
      </c>
      <c r="H15" s="1">
        <v>0.80723999999999996</v>
      </c>
      <c r="I15" s="1">
        <v>0.79601999999999995</v>
      </c>
      <c r="J15" s="1">
        <v>0.79705999999999999</v>
      </c>
      <c r="K15" s="1">
        <v>0.67508999999999997</v>
      </c>
      <c r="L15" s="1">
        <f>AVERAGE(G15,H15,I15,J15,K15)</f>
        <v>0.717472</v>
      </c>
      <c r="M15" s="1" t="s">
        <v>216</v>
      </c>
    </row>
    <row r="16" spans="1:13">
      <c r="B16" s="1"/>
      <c r="C16" s="1"/>
      <c r="D16" s="1"/>
      <c r="G16" s="1"/>
      <c r="H16" s="1"/>
      <c r="I16" s="1"/>
      <c r="J16" s="1"/>
      <c r="K16" s="1"/>
    </row>
    <row r="17" spans="1:16">
      <c r="B17" s="1"/>
      <c r="C17" s="1"/>
      <c r="D17" s="1"/>
      <c r="G17" s="1"/>
      <c r="H17" s="1"/>
      <c r="I17" s="1"/>
      <c r="J17" s="1"/>
      <c r="K17" s="1"/>
    </row>
    <row r="18" spans="1:16">
      <c r="B18" s="1"/>
      <c r="C18" s="1"/>
      <c r="D18" s="1"/>
      <c r="G18" s="1"/>
      <c r="H18" s="1"/>
      <c r="I18" s="1"/>
      <c r="J18" s="1"/>
      <c r="K18" s="1"/>
    </row>
    <row r="19" spans="1:16">
      <c r="A19" s="1"/>
      <c r="C19" s="1" t="s">
        <v>2</v>
      </c>
      <c r="D19" s="1" t="s">
        <v>3</v>
      </c>
      <c r="E19" s="1" t="s">
        <v>13</v>
      </c>
      <c r="F19" s="1"/>
      <c r="G19" s="1" t="s">
        <v>4</v>
      </c>
      <c r="H19" s="1" t="s">
        <v>5</v>
      </c>
      <c r="I19" s="1" t="s">
        <v>6</v>
      </c>
      <c r="J19" s="1" t="s">
        <v>10</v>
      </c>
      <c r="K19" s="1" t="s">
        <v>11</v>
      </c>
      <c r="L19" s="1" t="s">
        <v>13</v>
      </c>
    </row>
    <row r="20" spans="1:16">
      <c r="A20" s="1" t="s">
        <v>222</v>
      </c>
      <c r="B20" s="1" t="s">
        <v>212</v>
      </c>
      <c r="C20" s="1">
        <f t="shared" ref="C20:D20" si="2">ROUND(C5/C8*C6,3)</f>
        <v>5.952</v>
      </c>
      <c r="D20" s="1">
        <f t="shared" si="2"/>
        <v>9.2970000000000006</v>
      </c>
      <c r="G20" s="1">
        <f t="shared" ref="G20:K20" si="3">ROUND(G5/G8*G6,3)</f>
        <v>0.505</v>
      </c>
      <c r="H20" s="1">
        <f t="shared" si="3"/>
        <v>0.80700000000000005</v>
      </c>
      <c r="I20" s="1">
        <f t="shared" si="3"/>
        <v>0.79300000000000004</v>
      </c>
      <c r="J20" s="1">
        <f t="shared" si="3"/>
        <v>0.79500000000000004</v>
      </c>
      <c r="K20" s="1">
        <f t="shared" si="3"/>
        <v>0.65700000000000003</v>
      </c>
      <c r="L20" s="1">
        <f t="shared" ref="L20:L22" si="4">AVERAGE(G20,H20,I20,J20,K20)</f>
        <v>0.71140000000000003</v>
      </c>
    </row>
    <row r="21" spans="1:16">
      <c r="B21" s="1" t="s">
        <v>214</v>
      </c>
      <c r="C21" s="1">
        <f t="shared" ref="C21:D21" si="5">ROUND(C5/C8*C7,3)</f>
        <v>5.952</v>
      </c>
      <c r="D21" s="1">
        <f t="shared" si="5"/>
        <v>9.3000000000000007</v>
      </c>
      <c r="G21" s="1">
        <f t="shared" ref="G21:K21" si="6">ROUND(G5/G8*G7,3)</f>
        <v>0.499</v>
      </c>
      <c r="H21" s="1">
        <f t="shared" si="6"/>
        <v>0.80700000000000005</v>
      </c>
      <c r="I21" s="1">
        <f t="shared" si="6"/>
        <v>0.78900000000000003</v>
      </c>
      <c r="J21" s="1">
        <f t="shared" si="6"/>
        <v>0.79500000000000004</v>
      </c>
      <c r="K21" s="1">
        <f t="shared" si="6"/>
        <v>0.66500000000000004</v>
      </c>
      <c r="L21" s="1">
        <f t="shared" si="4"/>
        <v>0.71100000000000008</v>
      </c>
    </row>
    <row r="22" spans="1:16">
      <c r="A22" s="1"/>
      <c r="B22" s="1" t="s">
        <v>62</v>
      </c>
      <c r="C22" s="5">
        <v>5.9489999999999998</v>
      </c>
      <c r="D22" s="5">
        <v>9.2940000000000005</v>
      </c>
      <c r="F22" s="5"/>
      <c r="G22" s="5">
        <v>0.51200000000000001</v>
      </c>
      <c r="H22" s="1">
        <v>0.80800000000000005</v>
      </c>
      <c r="I22" s="5">
        <v>0.79600000000000004</v>
      </c>
      <c r="J22" s="5">
        <v>0.79600000000000004</v>
      </c>
      <c r="K22" s="5">
        <v>0.67100000000000004</v>
      </c>
      <c r="L22" s="5">
        <f t="shared" si="4"/>
        <v>0.71660000000000001</v>
      </c>
    </row>
    <row r="23" spans="1:16">
      <c r="A23" s="1"/>
    </row>
    <row r="24" spans="1:16">
      <c r="A24" s="1" t="s">
        <v>223</v>
      </c>
      <c r="B24" s="1" t="s">
        <v>212</v>
      </c>
      <c r="C24" s="1">
        <f t="shared" ref="C24:D24" si="7">ROUND(C31*C30/C33,3)</f>
        <v>8.2469999999999999</v>
      </c>
      <c r="D24" s="1">
        <f t="shared" si="7"/>
        <v>13.397</v>
      </c>
      <c r="G24" s="1">
        <f t="shared" ref="G24:L24" si="8">ROUND(G31*G30/G33,3)</f>
        <v>0.40300000000000002</v>
      </c>
      <c r="H24" s="1">
        <f t="shared" si="8"/>
        <v>0.74299999999999999</v>
      </c>
      <c r="I24" s="1">
        <f t="shared" si="8"/>
        <v>0.71299999999999997</v>
      </c>
      <c r="J24" s="1">
        <f t="shared" si="8"/>
        <v>0.75</v>
      </c>
      <c r="K24" s="1">
        <f t="shared" si="8"/>
        <v>0.63400000000000001</v>
      </c>
      <c r="L24" s="1">
        <f t="shared" si="8"/>
        <v>0.64900000000000002</v>
      </c>
    </row>
    <row r="25" spans="1:16">
      <c r="A25" s="1"/>
      <c r="B25" s="1" t="s">
        <v>214</v>
      </c>
      <c r="C25" s="1">
        <f t="shared" ref="C25:D25" si="9">ROUND(C32*C30/C33,3)</f>
        <v>8.2430000000000003</v>
      </c>
      <c r="D25" s="1">
        <f t="shared" si="9"/>
        <v>13.343999999999999</v>
      </c>
      <c r="G25" s="1">
        <f t="shared" ref="G25:L25" si="10">ROUND(G32*G30/G33,3)</f>
        <v>0.38600000000000001</v>
      </c>
      <c r="H25" s="1">
        <f t="shared" si="10"/>
        <v>0.747</v>
      </c>
      <c r="I25" s="1">
        <f t="shared" si="10"/>
        <v>0.72299999999999998</v>
      </c>
      <c r="J25" s="1">
        <f t="shared" si="10"/>
        <v>0.755</v>
      </c>
      <c r="K25" s="1">
        <f t="shared" si="10"/>
        <v>0.627</v>
      </c>
      <c r="L25" s="1">
        <f t="shared" si="10"/>
        <v>0.64800000000000002</v>
      </c>
    </row>
    <row r="26" spans="1:16">
      <c r="A26" s="1"/>
      <c r="B26" s="1" t="s">
        <v>62</v>
      </c>
      <c r="C26" s="11">
        <v>7.8929999999999998</v>
      </c>
      <c r="D26" s="11">
        <v>12.851000000000001</v>
      </c>
      <c r="F26" s="11"/>
      <c r="G26" s="13">
        <v>0.40699999999999997</v>
      </c>
      <c r="H26" s="13">
        <v>0.749</v>
      </c>
      <c r="I26" s="13">
        <v>0.72399999999999998</v>
      </c>
      <c r="J26" s="13">
        <v>0.76400000000000001</v>
      </c>
      <c r="K26" s="13">
        <v>0.63800000000000001</v>
      </c>
      <c r="L26" s="13">
        <v>0.65600000000000003</v>
      </c>
    </row>
    <row r="27" spans="1:16">
      <c r="A27" s="1"/>
    </row>
    <row r="28" spans="1:16">
      <c r="A28" s="1" t="s">
        <v>224</v>
      </c>
    </row>
    <row r="29" spans="1:16">
      <c r="B29" s="7" t="s">
        <v>19</v>
      </c>
      <c r="C29" s="11">
        <v>8.0936000000000003</v>
      </c>
      <c r="D29" s="11">
        <v>13.1569</v>
      </c>
      <c r="E29" s="1">
        <f t="shared" ref="E29:E33" si="11">AVERAGE(C29:D29)</f>
        <v>10.625250000000001</v>
      </c>
      <c r="F29" s="11"/>
      <c r="G29" s="11">
        <v>0.41299999999999998</v>
      </c>
      <c r="H29" s="11">
        <v>0.745</v>
      </c>
      <c r="I29" s="11">
        <v>0.71499999999999997</v>
      </c>
      <c r="J29" s="11">
        <v>0.75600000000000001</v>
      </c>
      <c r="K29" s="11">
        <v>0.624</v>
      </c>
      <c r="L29" s="11">
        <f t="shared" ref="L29:L32" si="12">AVERAGE(G29,H29,I29,J29,K29)</f>
        <v>0.65059999999999996</v>
      </c>
      <c r="M29" s="1" t="s">
        <v>211</v>
      </c>
      <c r="O29" s="11"/>
    </row>
    <row r="30" spans="1:16">
      <c r="B30" s="21" t="s">
        <v>29</v>
      </c>
      <c r="C30" s="11">
        <v>7.8933</v>
      </c>
      <c r="D30" s="11">
        <v>12.8506</v>
      </c>
      <c r="E30" s="1">
        <f t="shared" si="11"/>
        <v>10.37195</v>
      </c>
      <c r="F30" s="11"/>
      <c r="G30" s="11">
        <v>0.40699999999999997</v>
      </c>
      <c r="H30" s="13">
        <v>0.749</v>
      </c>
      <c r="I30" s="13">
        <v>0.72399999999999998</v>
      </c>
      <c r="J30" s="13">
        <v>0.76400000000000001</v>
      </c>
      <c r="K30" s="13">
        <v>0.63800000000000001</v>
      </c>
      <c r="L30" s="13">
        <f t="shared" si="12"/>
        <v>0.65639999999999998</v>
      </c>
      <c r="M30" s="1" t="s">
        <v>211</v>
      </c>
      <c r="O30" s="11"/>
    </row>
    <row r="31" spans="1:16">
      <c r="B31" s="1" t="s">
        <v>212</v>
      </c>
      <c r="C31" s="11">
        <v>7.8792600000000004</v>
      </c>
      <c r="D31" s="11">
        <v>12.890129999999999</v>
      </c>
      <c r="E31" s="1">
        <f t="shared" si="11"/>
        <v>10.384695000000001</v>
      </c>
      <c r="F31" s="11"/>
      <c r="G31" s="11">
        <v>0.41126000000000001</v>
      </c>
      <c r="H31" s="11">
        <v>0.74411000000000005</v>
      </c>
      <c r="I31" s="11">
        <v>0.71467999999999998</v>
      </c>
      <c r="J31" s="11">
        <v>0.75951999999999997</v>
      </c>
      <c r="K31" s="1">
        <v>0.61011000000000004</v>
      </c>
      <c r="L31" s="1">
        <f t="shared" si="12"/>
        <v>0.64793600000000007</v>
      </c>
      <c r="O31" s="10"/>
    </row>
    <row r="32" spans="1:16">
      <c r="B32" s="1" t="s">
        <v>214</v>
      </c>
      <c r="C32" s="97">
        <v>7.8758699999999999</v>
      </c>
      <c r="D32" s="97">
        <v>12.838950000000001</v>
      </c>
      <c r="E32" s="1">
        <f t="shared" si="11"/>
        <v>10.35741</v>
      </c>
      <c r="F32" s="97"/>
      <c r="G32" s="97">
        <v>0.39419999999999999</v>
      </c>
      <c r="H32" s="97">
        <v>0.74831999999999999</v>
      </c>
      <c r="I32" s="97">
        <v>0.72455999999999998</v>
      </c>
      <c r="J32" s="97">
        <v>0.76495999999999997</v>
      </c>
      <c r="K32" s="97">
        <v>0.60289000000000004</v>
      </c>
      <c r="L32" s="1">
        <f t="shared" si="12"/>
        <v>0.64698599999999995</v>
      </c>
      <c r="M32" s="10"/>
      <c r="N32" s="10"/>
      <c r="O32" s="10"/>
      <c r="P32" s="13"/>
    </row>
    <row r="33" spans="1:15">
      <c r="B33" s="1" t="s">
        <v>62</v>
      </c>
      <c r="C33" s="5">
        <v>7.5416699999999999</v>
      </c>
      <c r="D33" s="5">
        <v>12.36462</v>
      </c>
      <c r="E33" s="96">
        <f t="shared" si="11"/>
        <v>9.9531449999999992</v>
      </c>
      <c r="G33" s="5">
        <v>0.41553000000000001</v>
      </c>
      <c r="H33" s="5">
        <v>0.75</v>
      </c>
      <c r="I33" s="5">
        <v>0.72538000000000002</v>
      </c>
      <c r="J33" s="5">
        <v>0.77420999999999995</v>
      </c>
      <c r="K33" s="13">
        <v>0.61372000000000004</v>
      </c>
      <c r="L33" s="96">
        <f>AVERAGE(G33,H33,I33,J33,K31)</f>
        <v>0.65504600000000002</v>
      </c>
      <c r="M33" s="1" t="s">
        <v>225</v>
      </c>
    </row>
    <row r="37" spans="1:15">
      <c r="A37" s="1" t="s">
        <v>224</v>
      </c>
    </row>
    <row r="38" spans="1:15">
      <c r="B38" s="1" t="s">
        <v>19</v>
      </c>
      <c r="C38" s="1">
        <v>5.5720000000000001</v>
      </c>
      <c r="D38" s="1">
        <v>8.6483000000000008</v>
      </c>
      <c r="F38" s="1">
        <v>0.43940000000000001</v>
      </c>
      <c r="G38" s="1">
        <v>0.76349999999999996</v>
      </c>
      <c r="H38" s="1">
        <v>0.78039999999999998</v>
      </c>
      <c r="I38" s="1">
        <v>0.57679999999999998</v>
      </c>
      <c r="J38" s="1">
        <v>0.68459999999999999</v>
      </c>
      <c r="K38" s="1">
        <v>0.28999999999999998</v>
      </c>
      <c r="L38" s="1">
        <v>0.78669999999999995</v>
      </c>
      <c r="M38" s="1">
        <v>0.60289999999999999</v>
      </c>
      <c r="N38" s="1">
        <v>0.70640000000000003</v>
      </c>
      <c r="O38" s="1">
        <v>0.67457999999999996</v>
      </c>
    </row>
    <row r="39" spans="1:15">
      <c r="B39" s="6" t="s">
        <v>54</v>
      </c>
      <c r="C39" s="1">
        <v>5.5236999999999998</v>
      </c>
      <c r="D39" s="1">
        <v>8.5520999999999994</v>
      </c>
      <c r="F39" s="1">
        <v>0.43859999999999999</v>
      </c>
      <c r="G39" s="1">
        <v>0.76559999999999995</v>
      </c>
      <c r="H39" s="1">
        <v>0.79359999999999997</v>
      </c>
      <c r="I39" s="1">
        <v>0.58140000000000003</v>
      </c>
      <c r="J39" s="1">
        <v>0.69220000000000004</v>
      </c>
      <c r="K39" s="1">
        <v>0.29199999999999998</v>
      </c>
      <c r="L39" s="1">
        <v>0.7873</v>
      </c>
      <c r="M39" s="1">
        <v>0.61729999999999996</v>
      </c>
      <c r="N39" s="1">
        <v>0.70320000000000005</v>
      </c>
      <c r="O39" s="1">
        <v>0.68047999999999997</v>
      </c>
    </row>
    <row r="41" spans="1:15">
      <c r="B41" s="1" t="s">
        <v>212</v>
      </c>
      <c r="C41" s="1">
        <v>5.4885599999999997</v>
      </c>
      <c r="D41" s="1">
        <v>8.4868799999999993</v>
      </c>
      <c r="G41" s="1">
        <v>0.44539000000000001</v>
      </c>
      <c r="H41" s="1">
        <v>0.76556999999999997</v>
      </c>
      <c r="I41" s="1">
        <v>0.79083000000000003</v>
      </c>
      <c r="J41" s="1">
        <v>0.78835999999999995</v>
      </c>
      <c r="K41" s="1">
        <v>0.58484000000000003</v>
      </c>
    </row>
    <row r="42" spans="1:15">
      <c r="B42" s="1" t="s">
        <v>214</v>
      </c>
      <c r="C42" s="1">
        <v>5.5192300000000003</v>
      </c>
      <c r="D42" s="1">
        <v>8.5393399999999993</v>
      </c>
      <c r="G42" s="1">
        <v>0.44283</v>
      </c>
      <c r="H42" s="1">
        <v>0.7601</v>
      </c>
      <c r="I42" s="1">
        <v>0.79601999999999995</v>
      </c>
      <c r="J42" s="1">
        <v>0.78835999999999995</v>
      </c>
      <c r="K42" s="1">
        <v>0.58845000000000003</v>
      </c>
    </row>
    <row r="43" spans="1:15">
      <c r="B43" s="1" t="s">
        <v>69</v>
      </c>
      <c r="C43" s="1">
        <v>5.5227500000000003</v>
      </c>
      <c r="D43" s="1">
        <v>8.5567299999999999</v>
      </c>
      <c r="G43" s="1">
        <v>0.44368999999999997</v>
      </c>
      <c r="H43" s="1">
        <v>0.76178000000000001</v>
      </c>
      <c r="I43" s="1">
        <v>0.79266000000000003</v>
      </c>
      <c r="J43" s="1">
        <v>0.78781000000000001</v>
      </c>
      <c r="K43" s="1">
        <v>0.58845000000000003</v>
      </c>
    </row>
    <row r="44" spans="1:15">
      <c r="C44" s="1">
        <v>5.5227500000000003</v>
      </c>
      <c r="D44" s="1">
        <v>8.5567299999999999</v>
      </c>
    </row>
    <row r="48" spans="1:15">
      <c r="A48" s="1" t="s">
        <v>35</v>
      </c>
      <c r="C48" s="1" t="s">
        <v>226</v>
      </c>
      <c r="D48" s="1" t="s">
        <v>3</v>
      </c>
      <c r="F48" s="1" t="s">
        <v>31</v>
      </c>
      <c r="G48" s="1" t="s">
        <v>32</v>
      </c>
      <c r="H48" s="1" t="s">
        <v>6</v>
      </c>
      <c r="I48" s="1" t="s">
        <v>10</v>
      </c>
      <c r="J48" s="1" t="s">
        <v>11</v>
      </c>
    </row>
    <row r="49" spans="1:15">
      <c r="A49" s="7" t="s">
        <v>27</v>
      </c>
      <c r="B49" s="1" t="s">
        <v>55</v>
      </c>
      <c r="C49" s="3">
        <v>10.9466</v>
      </c>
      <c r="D49" s="1">
        <v>18.0442</v>
      </c>
      <c r="E49" s="1">
        <f>AVERAGE(C49:D49)</f>
        <v>14.4954</v>
      </c>
      <c r="F49" s="1">
        <v>0.38569999999999999</v>
      </c>
      <c r="G49" s="1">
        <v>0.64900000000000002</v>
      </c>
      <c r="H49" s="5">
        <v>0.71740000000000004</v>
      </c>
      <c r="I49" s="1">
        <v>0.74319999999999997</v>
      </c>
      <c r="J49" s="1">
        <v>0.58840000000000003</v>
      </c>
      <c r="K49" s="1">
        <f t="shared" ref="K49:K53" si="13">AVERAGE(F49:J49)</f>
        <v>0.61673999999999995</v>
      </c>
      <c r="N49" s="2">
        <v>0.67959999999999998</v>
      </c>
      <c r="O49" s="1">
        <f>AVERAGE(F49,G49,H49,I49,J49)</f>
        <v>0.61673999999999995</v>
      </c>
    </row>
    <row r="50" spans="1:15">
      <c r="B50" s="1" t="s">
        <v>35</v>
      </c>
      <c r="C50" s="1">
        <v>9.8195999999999994</v>
      </c>
      <c r="D50" s="1">
        <v>16.0806</v>
      </c>
      <c r="F50" s="1">
        <v>0.40188000000000001</v>
      </c>
      <c r="G50" s="1">
        <v>0.70960000000000001</v>
      </c>
      <c r="H50" s="5">
        <v>0.70091999999999999</v>
      </c>
      <c r="I50" s="1">
        <v>0.74265999999999999</v>
      </c>
      <c r="J50" s="1">
        <v>0.58484000000000003</v>
      </c>
      <c r="K50" s="1">
        <f t="shared" si="13"/>
        <v>0.62797999999999998</v>
      </c>
    </row>
    <row r="51" spans="1:15">
      <c r="B51" s="1" t="s">
        <v>227</v>
      </c>
      <c r="C51" s="1">
        <v>8.5467999999999993</v>
      </c>
      <c r="D51" s="1">
        <v>13.905200000000001</v>
      </c>
      <c r="F51" s="1">
        <v>0.40528999999999998</v>
      </c>
      <c r="G51" s="5">
        <v>0.73231999999999997</v>
      </c>
      <c r="H51" s="1">
        <v>0.69113000000000002</v>
      </c>
      <c r="I51" s="1">
        <v>0.75843000000000005</v>
      </c>
      <c r="J51" s="1">
        <v>0.59928000000000003</v>
      </c>
      <c r="K51" s="1">
        <f t="shared" si="13"/>
        <v>0.63728999999999991</v>
      </c>
    </row>
    <row r="52" spans="1:15">
      <c r="B52" s="1" t="s">
        <v>228</v>
      </c>
      <c r="C52" s="1">
        <v>8.5868000000000002</v>
      </c>
      <c r="D52" s="1">
        <v>13.937799999999999</v>
      </c>
      <c r="F52" s="1">
        <v>0.40870000000000001</v>
      </c>
      <c r="G52" s="1">
        <v>0.72726999999999997</v>
      </c>
      <c r="H52" s="5">
        <v>0.69450000000000001</v>
      </c>
      <c r="I52" s="5">
        <v>0.75843000000000005</v>
      </c>
      <c r="J52" s="1">
        <v>0.60289000000000004</v>
      </c>
      <c r="K52" s="1">
        <f t="shared" si="13"/>
        <v>0.63835799999999998</v>
      </c>
    </row>
    <row r="53" spans="1:15">
      <c r="B53" s="1" t="s">
        <v>69</v>
      </c>
      <c r="C53" s="1">
        <v>8.7230000000000008</v>
      </c>
      <c r="D53" s="1">
        <v>14.1424</v>
      </c>
      <c r="F53" s="5">
        <v>0.41211999999999999</v>
      </c>
      <c r="G53" s="1">
        <v>0.72516999999999998</v>
      </c>
      <c r="H53" s="1">
        <v>0.68806999999999996</v>
      </c>
      <c r="I53" s="1">
        <v>0.75517000000000001</v>
      </c>
      <c r="J53" s="1">
        <v>0.60650000000000004</v>
      </c>
      <c r="K53" s="1">
        <f t="shared" si="13"/>
        <v>0.63740600000000003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L1011"/>
  <sheetViews>
    <sheetView workbookViewId="0"/>
  </sheetViews>
  <sheetFormatPr defaultColWidth="12.6640625" defaultRowHeight="15.75" customHeight="1"/>
  <cols>
    <col min="2" max="2" width="28.33203125" customWidth="1"/>
    <col min="9" max="9" width="12.6640625" hidden="1"/>
  </cols>
  <sheetData>
    <row r="1" spans="1:12">
      <c r="A1" s="45" t="s">
        <v>229</v>
      </c>
      <c r="B1" s="45" t="s">
        <v>1</v>
      </c>
      <c r="C1" s="10"/>
      <c r="D1" s="10"/>
      <c r="E1" s="10"/>
      <c r="F1" s="10"/>
      <c r="G1" s="10"/>
      <c r="H1" s="10"/>
      <c r="I1" s="10"/>
      <c r="J1" s="10"/>
      <c r="K1" s="10"/>
    </row>
    <row r="2" spans="1:12">
      <c r="A2" s="10"/>
      <c r="B2" s="10"/>
      <c r="C2" s="45" t="s">
        <v>2</v>
      </c>
      <c r="D2" s="45" t="s">
        <v>3</v>
      </c>
      <c r="E2" s="10"/>
      <c r="F2" s="45" t="s">
        <v>4</v>
      </c>
      <c r="G2" s="45" t="s">
        <v>5</v>
      </c>
      <c r="H2" s="45" t="s">
        <v>6</v>
      </c>
      <c r="I2" s="45" t="s">
        <v>10</v>
      </c>
      <c r="J2" s="45" t="s">
        <v>11</v>
      </c>
      <c r="K2" s="45" t="s">
        <v>13</v>
      </c>
      <c r="L2" s="1" t="s">
        <v>13</v>
      </c>
    </row>
    <row r="3" spans="1:12">
      <c r="A3" s="10"/>
      <c r="B3" s="45" t="s">
        <v>14</v>
      </c>
      <c r="C3" s="11">
        <v>4.8449999999999998</v>
      </c>
      <c r="D3" s="11">
        <v>7.5350000000000001</v>
      </c>
      <c r="E3" s="10"/>
      <c r="F3" s="11">
        <v>0.50900000000000001</v>
      </c>
      <c r="G3" s="11">
        <v>0.80200000000000005</v>
      </c>
      <c r="H3" s="11">
        <v>0.83699999999999997</v>
      </c>
      <c r="I3" s="11">
        <v>0.8</v>
      </c>
      <c r="J3" s="11">
        <v>0.68600000000000005</v>
      </c>
      <c r="K3" s="11">
        <v>0.7268</v>
      </c>
      <c r="L3" s="1">
        <f>AVERAGE(F3,G3,H3,J3,K3)</f>
        <v>0.7121599999999999</v>
      </c>
    </row>
    <row r="4" spans="1:12">
      <c r="A4" s="45" t="s">
        <v>50</v>
      </c>
      <c r="B4" s="45" t="s">
        <v>207</v>
      </c>
      <c r="C4" s="98">
        <v>299.82100000000003</v>
      </c>
      <c r="D4" s="98">
        <v>254.446</v>
      </c>
      <c r="E4" s="10"/>
      <c r="F4" s="11">
        <v>0.2</v>
      </c>
      <c r="G4" s="11">
        <v>0.28199999999999997</v>
      </c>
      <c r="H4" s="11">
        <v>0.38300000000000001</v>
      </c>
      <c r="I4" s="11">
        <v>0.55200000000000005</v>
      </c>
      <c r="J4" s="11">
        <v>0.52300000000000002</v>
      </c>
      <c r="K4" s="11">
        <v>0.38800000000000001</v>
      </c>
    </row>
    <row r="5" spans="1:12">
      <c r="A5" s="10"/>
      <c r="B5" s="45" t="s">
        <v>208</v>
      </c>
      <c r="C5" s="11">
        <v>9.9979999999999993</v>
      </c>
      <c r="D5" s="11">
        <v>15.384</v>
      </c>
      <c r="E5" s="10"/>
      <c r="F5" s="11">
        <v>0.26800000000000002</v>
      </c>
      <c r="G5" s="11">
        <v>0.56399999999999995</v>
      </c>
      <c r="H5" s="11">
        <v>0.55600000000000005</v>
      </c>
      <c r="I5" s="11">
        <v>0.69399999999999995</v>
      </c>
      <c r="J5" s="11">
        <v>0.54200000000000004</v>
      </c>
      <c r="K5" s="11">
        <v>0.52500000000000002</v>
      </c>
      <c r="L5" s="5"/>
    </row>
    <row r="6" spans="1:12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2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12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2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5"/>
    </row>
    <row r="10" spans="1:12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2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2">
      <c r="A14" s="10"/>
      <c r="B14" s="45" t="s">
        <v>14</v>
      </c>
      <c r="C14" s="11">
        <v>5.5220000000000002</v>
      </c>
      <c r="D14" s="11">
        <v>8.4090000000000007</v>
      </c>
      <c r="E14" s="10"/>
      <c r="F14" s="11">
        <v>0.52200000000000002</v>
      </c>
      <c r="G14" s="11">
        <v>0.82199999999999995</v>
      </c>
      <c r="H14" s="11">
        <v>0.83</v>
      </c>
      <c r="I14" s="11">
        <v>0.79100000000000004</v>
      </c>
      <c r="J14" s="11">
        <v>0.71099999999999997</v>
      </c>
      <c r="K14" s="11">
        <v>0.73519999999999996</v>
      </c>
      <c r="L14" s="1">
        <f>AVERAGE(F14,G14,H14,J14,K14)</f>
        <v>0.72403999999999991</v>
      </c>
    </row>
    <row r="15" spans="1:12">
      <c r="A15" s="45" t="s">
        <v>27</v>
      </c>
      <c r="B15" s="45" t="s">
        <v>207</v>
      </c>
      <c r="C15" s="11">
        <v>15202.254999999999</v>
      </c>
      <c r="D15" s="11">
        <v>24205.625</v>
      </c>
      <c r="E15" s="10"/>
      <c r="F15" s="11">
        <v>0.21299999999999999</v>
      </c>
      <c r="G15" s="11">
        <v>0.26600000000000001</v>
      </c>
      <c r="H15" s="11">
        <v>0.53900000000000003</v>
      </c>
      <c r="I15" s="11">
        <v>0.52800000000000002</v>
      </c>
      <c r="J15" s="11">
        <v>0.54900000000000004</v>
      </c>
      <c r="K15" s="11">
        <v>0.41899999999999998</v>
      </c>
    </row>
    <row r="16" spans="1:12">
      <c r="A16" s="10"/>
      <c r="B16" s="45" t="s">
        <v>208</v>
      </c>
      <c r="C16" s="11">
        <v>126.25700000000001</v>
      </c>
      <c r="D16" s="11">
        <v>131.06399999999999</v>
      </c>
      <c r="E16" s="10"/>
      <c r="F16" s="11">
        <v>0.20200000000000001</v>
      </c>
      <c r="G16" s="11">
        <v>0.28299999999999997</v>
      </c>
      <c r="H16" s="11">
        <v>0.437</v>
      </c>
      <c r="I16" s="11">
        <v>0.54100000000000004</v>
      </c>
      <c r="J16" s="11">
        <v>0.52700000000000002</v>
      </c>
      <c r="K16" s="11">
        <v>0.39800000000000002</v>
      </c>
      <c r="L16" s="5"/>
    </row>
    <row r="17" spans="1:1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2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2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5"/>
    </row>
    <row r="21" spans="1:1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 spans="1:1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 spans="1:1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 spans="1:1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 spans="1:1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 spans="1:12">
      <c r="A26" s="45" t="s">
        <v>33</v>
      </c>
      <c r="B26" s="45" t="s">
        <v>14</v>
      </c>
      <c r="C26" s="11">
        <v>6.0838999999999999</v>
      </c>
      <c r="D26" s="11">
        <v>10.816599999999999</v>
      </c>
      <c r="E26" s="10"/>
      <c r="F26" s="11">
        <v>0.47699999999999998</v>
      </c>
      <c r="G26" s="11">
        <v>0.80400000000000005</v>
      </c>
      <c r="H26" s="11">
        <v>0.84599999999999997</v>
      </c>
      <c r="I26" s="11">
        <v>0.78700000000000003</v>
      </c>
      <c r="J26" s="11">
        <v>0.81499999999999995</v>
      </c>
      <c r="K26" s="11">
        <v>0.74580000000000002</v>
      </c>
      <c r="L26" s="1">
        <f>AVERAGE(F26,G26,H26,J26,K26)</f>
        <v>0.73755999999999999</v>
      </c>
    </row>
    <row r="27" spans="1:12">
      <c r="A27" s="45" t="s">
        <v>33</v>
      </c>
      <c r="B27" s="45" t="s">
        <v>207</v>
      </c>
      <c r="C27" s="11">
        <v>43.398000000000003</v>
      </c>
      <c r="D27" s="11">
        <v>89.72</v>
      </c>
      <c r="E27" s="10"/>
      <c r="F27" s="11">
        <v>0.28599999999999998</v>
      </c>
      <c r="G27" s="11">
        <v>0.501</v>
      </c>
      <c r="H27" s="11">
        <v>0.48899999999999999</v>
      </c>
      <c r="I27" s="11">
        <v>0.67200000000000004</v>
      </c>
      <c r="J27" s="11">
        <v>0.56699999999999995</v>
      </c>
      <c r="K27" s="11">
        <v>0.503</v>
      </c>
    </row>
    <row r="28" spans="1:12">
      <c r="A28" s="10"/>
      <c r="B28" s="45" t="s">
        <v>208</v>
      </c>
      <c r="C28" s="11">
        <v>17.939</v>
      </c>
      <c r="D28" s="11">
        <v>28.248999999999999</v>
      </c>
      <c r="E28" s="10"/>
      <c r="F28" s="11">
        <v>0.31900000000000001</v>
      </c>
      <c r="G28" s="11">
        <v>0.61799999999999999</v>
      </c>
      <c r="H28" s="11">
        <v>0.52300000000000002</v>
      </c>
      <c r="I28" s="11">
        <v>0.71399999999999997</v>
      </c>
      <c r="J28" s="11">
        <v>0.57399999999999995</v>
      </c>
      <c r="K28" s="11">
        <v>0.55000000000000004</v>
      </c>
      <c r="L28" s="5"/>
    </row>
    <row r="29" spans="1:12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 spans="1:1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spans="1:1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 spans="1:1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5"/>
    </row>
    <row r="33" spans="1:12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 spans="1:12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spans="1:12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spans="1:1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 spans="1:1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 spans="1:1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 spans="1:12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spans="1:12">
      <c r="A40" s="45" t="s">
        <v>0</v>
      </c>
      <c r="B40" s="45" t="s">
        <v>1</v>
      </c>
      <c r="C40" s="10"/>
      <c r="D40" s="10"/>
      <c r="E40" s="10"/>
      <c r="F40" s="10"/>
      <c r="G40" s="10"/>
      <c r="H40" s="10"/>
      <c r="I40" s="10"/>
      <c r="J40" s="10"/>
      <c r="K40" s="10"/>
    </row>
    <row r="41" spans="1:12">
      <c r="A41" s="10"/>
      <c r="B41" s="10"/>
      <c r="C41" s="45" t="s">
        <v>2</v>
      </c>
      <c r="D41" s="45" t="s">
        <v>3</v>
      </c>
      <c r="E41" s="10"/>
      <c r="F41" s="45" t="s">
        <v>4</v>
      </c>
      <c r="G41" s="45" t="s">
        <v>5</v>
      </c>
      <c r="H41" s="45" t="s">
        <v>6</v>
      </c>
      <c r="I41" s="45" t="s">
        <v>10</v>
      </c>
      <c r="J41" s="45" t="s">
        <v>11</v>
      </c>
      <c r="K41" s="45" t="s">
        <v>13</v>
      </c>
      <c r="L41" s="1" t="s">
        <v>13</v>
      </c>
    </row>
    <row r="42" spans="1:12">
      <c r="A42" s="10"/>
      <c r="B42" s="45" t="s">
        <v>14</v>
      </c>
      <c r="C42" s="11">
        <v>5.4420000000000002</v>
      </c>
      <c r="D42" s="11">
        <v>8.3460000000000001</v>
      </c>
      <c r="E42" s="10"/>
      <c r="F42" s="11">
        <v>0.505</v>
      </c>
      <c r="G42" s="11">
        <v>0.8</v>
      </c>
      <c r="H42" s="11">
        <v>0.81299999999999994</v>
      </c>
      <c r="I42" s="11">
        <v>0.79600000000000004</v>
      </c>
      <c r="J42" s="11">
        <v>0.69599999999999995</v>
      </c>
      <c r="K42" s="11">
        <v>0.72199999999999998</v>
      </c>
      <c r="L42" s="1">
        <f>AVERAGE(F42,G42,H42,J42,K42)</f>
        <v>0.70720000000000005</v>
      </c>
    </row>
    <row r="43" spans="1:12">
      <c r="A43" s="45" t="s">
        <v>38</v>
      </c>
      <c r="B43" s="45" t="s">
        <v>207</v>
      </c>
      <c r="C43" s="10"/>
      <c r="D43" s="10"/>
      <c r="E43" s="10"/>
      <c r="F43" s="10"/>
      <c r="G43" s="10"/>
      <c r="H43" s="10"/>
      <c r="I43" s="10"/>
      <c r="J43" s="10"/>
      <c r="K43" s="10"/>
    </row>
    <row r="44" spans="1:12">
      <c r="A44" s="10"/>
      <c r="B44" s="45" t="s">
        <v>208</v>
      </c>
      <c r="C44" s="10"/>
      <c r="D44" s="10"/>
      <c r="E44" s="10"/>
      <c r="F44" s="10"/>
      <c r="G44" s="10"/>
      <c r="H44" s="10"/>
      <c r="I44" s="10"/>
      <c r="J44" s="10"/>
      <c r="K44" s="10"/>
      <c r="L44" s="5"/>
    </row>
    <row r="45" spans="1:12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 spans="1:12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spans="1:12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 spans="1:12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5"/>
    </row>
    <row r="49" spans="1:1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 spans="1:1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 spans="1:11">
      <c r="A51" s="10"/>
      <c r="B51" s="10"/>
      <c r="C51" s="10"/>
      <c r="D51" s="10"/>
      <c r="E51" s="10"/>
      <c r="F51" s="10"/>
      <c r="G51" s="45" t="s">
        <v>209</v>
      </c>
      <c r="H51" s="10"/>
      <c r="I51" s="10"/>
      <c r="J51" s="10"/>
      <c r="K51" s="10"/>
    </row>
    <row r="52" spans="1:11">
      <c r="I52" s="2"/>
    </row>
    <row r="53" spans="1:11">
      <c r="I53" s="2"/>
    </row>
    <row r="54" spans="1:11">
      <c r="I54" s="2"/>
    </row>
    <row r="55" spans="1:11">
      <c r="G55" s="5"/>
      <c r="I55" s="2"/>
    </row>
    <row r="56" spans="1:11">
      <c r="I56" s="2"/>
    </row>
    <row r="57" spans="1:11">
      <c r="I57" s="2"/>
    </row>
    <row r="58" spans="1:11">
      <c r="I58" s="2"/>
    </row>
    <row r="59" spans="1:11">
      <c r="I59" s="2"/>
    </row>
    <row r="60" spans="1:11">
      <c r="I60" s="2"/>
    </row>
    <row r="61" spans="1:11">
      <c r="I61" s="2"/>
    </row>
    <row r="62" spans="1:11">
      <c r="I62" s="2"/>
    </row>
    <row r="63" spans="1:11">
      <c r="I63" s="2"/>
    </row>
    <row r="64" spans="1:11">
      <c r="I64" s="2"/>
    </row>
    <row r="65" spans="9:9">
      <c r="I65" s="2"/>
    </row>
    <row r="66" spans="9:9">
      <c r="I66" s="2"/>
    </row>
    <row r="67" spans="9:9">
      <c r="I67" s="2"/>
    </row>
    <row r="68" spans="9:9">
      <c r="I68" s="2"/>
    </row>
    <row r="69" spans="9:9">
      <c r="I69" s="2"/>
    </row>
    <row r="70" spans="9:9">
      <c r="I70" s="2"/>
    </row>
    <row r="71" spans="9:9">
      <c r="I71" s="2"/>
    </row>
    <row r="72" spans="9:9">
      <c r="I72" s="2"/>
    </row>
    <row r="73" spans="9:9">
      <c r="I73" s="2"/>
    </row>
    <row r="74" spans="9:9">
      <c r="I74" s="2"/>
    </row>
    <row r="75" spans="9:9">
      <c r="I75" s="2"/>
    </row>
    <row r="76" spans="9:9">
      <c r="I76" s="2"/>
    </row>
    <row r="77" spans="9:9">
      <c r="I77" s="2"/>
    </row>
    <row r="78" spans="9:9">
      <c r="I78" s="2"/>
    </row>
    <row r="79" spans="9:9">
      <c r="I79" s="2"/>
    </row>
    <row r="80" spans="9:9">
      <c r="I80" s="2"/>
    </row>
    <row r="81" spans="9:9">
      <c r="I81" s="2"/>
    </row>
    <row r="82" spans="9:9">
      <c r="I82" s="2"/>
    </row>
    <row r="83" spans="9:9">
      <c r="I83" s="2"/>
    </row>
    <row r="84" spans="9:9">
      <c r="I84" s="2"/>
    </row>
    <row r="85" spans="9:9">
      <c r="I85" s="2"/>
    </row>
    <row r="86" spans="9:9">
      <c r="I86" s="2"/>
    </row>
    <row r="87" spans="9:9">
      <c r="I87" s="2"/>
    </row>
    <row r="88" spans="9:9">
      <c r="I88" s="2"/>
    </row>
    <row r="89" spans="9:9">
      <c r="I89" s="2"/>
    </row>
    <row r="90" spans="9:9">
      <c r="I90" s="2"/>
    </row>
    <row r="91" spans="9:9">
      <c r="I91" s="2"/>
    </row>
    <row r="92" spans="9:9">
      <c r="I92" s="2"/>
    </row>
    <row r="93" spans="9:9">
      <c r="I93" s="2"/>
    </row>
    <row r="94" spans="9:9">
      <c r="I94" s="2"/>
    </row>
    <row r="95" spans="9:9">
      <c r="I95" s="2"/>
    </row>
    <row r="96" spans="9:9">
      <c r="I96" s="2"/>
    </row>
    <row r="97" spans="9:9">
      <c r="I97" s="2"/>
    </row>
    <row r="98" spans="9:9">
      <c r="I98" s="2"/>
    </row>
    <row r="99" spans="9:9">
      <c r="I99" s="2"/>
    </row>
    <row r="100" spans="9:9">
      <c r="I100" s="2"/>
    </row>
    <row r="101" spans="9:9">
      <c r="I101" s="2"/>
    </row>
    <row r="102" spans="9:9">
      <c r="I102" s="2"/>
    </row>
    <row r="103" spans="9:9">
      <c r="I103" s="2"/>
    </row>
    <row r="104" spans="9:9">
      <c r="I104" s="2"/>
    </row>
    <row r="105" spans="9:9">
      <c r="I105" s="2"/>
    </row>
    <row r="106" spans="9:9">
      <c r="I106" s="2"/>
    </row>
    <row r="107" spans="9:9">
      <c r="I107" s="2"/>
    </row>
    <row r="108" spans="9:9">
      <c r="I108" s="2"/>
    </row>
    <row r="109" spans="9:9">
      <c r="I109" s="2"/>
    </row>
    <row r="110" spans="9:9">
      <c r="I110" s="2"/>
    </row>
    <row r="111" spans="9:9">
      <c r="I111" s="2"/>
    </row>
    <row r="112" spans="9:9">
      <c r="I112" s="2"/>
    </row>
    <row r="113" spans="9:9">
      <c r="I113" s="2"/>
    </row>
    <row r="114" spans="9:9">
      <c r="I114" s="2"/>
    </row>
    <row r="115" spans="9:9">
      <c r="I115" s="2"/>
    </row>
    <row r="116" spans="9:9">
      <c r="I116" s="2"/>
    </row>
    <row r="117" spans="9:9">
      <c r="I117" s="2"/>
    </row>
    <row r="118" spans="9:9">
      <c r="I118" s="2"/>
    </row>
    <row r="119" spans="9:9">
      <c r="I119" s="2"/>
    </row>
    <row r="120" spans="9:9">
      <c r="I120" s="2"/>
    </row>
    <row r="121" spans="9:9">
      <c r="I121" s="2"/>
    </row>
    <row r="122" spans="9:9">
      <c r="I122" s="2"/>
    </row>
    <row r="123" spans="9:9">
      <c r="I123" s="2"/>
    </row>
    <row r="124" spans="9:9">
      <c r="I124" s="2"/>
    </row>
    <row r="125" spans="9:9">
      <c r="I125" s="2"/>
    </row>
    <row r="126" spans="9:9">
      <c r="I126" s="2"/>
    </row>
    <row r="127" spans="9:9">
      <c r="I127" s="2"/>
    </row>
    <row r="128" spans="9:9">
      <c r="I128" s="2"/>
    </row>
    <row r="129" spans="9:9">
      <c r="I129" s="2"/>
    </row>
    <row r="130" spans="9:9">
      <c r="I130" s="2"/>
    </row>
    <row r="131" spans="9:9">
      <c r="I131" s="2"/>
    </row>
    <row r="132" spans="9:9">
      <c r="I132" s="2"/>
    </row>
    <row r="133" spans="9:9">
      <c r="I133" s="2"/>
    </row>
    <row r="134" spans="9:9">
      <c r="I134" s="2"/>
    </row>
    <row r="135" spans="9:9">
      <c r="I135" s="2"/>
    </row>
    <row r="136" spans="9:9">
      <c r="I136" s="2"/>
    </row>
    <row r="137" spans="9:9">
      <c r="I137" s="2"/>
    </row>
    <row r="138" spans="9:9">
      <c r="I138" s="2"/>
    </row>
    <row r="139" spans="9:9">
      <c r="I139" s="2"/>
    </row>
    <row r="140" spans="9:9">
      <c r="I140" s="2"/>
    </row>
    <row r="141" spans="9:9">
      <c r="I141" s="2"/>
    </row>
    <row r="142" spans="9:9">
      <c r="I142" s="2"/>
    </row>
    <row r="143" spans="9:9">
      <c r="I143" s="2"/>
    </row>
    <row r="144" spans="9:9">
      <c r="I144" s="2"/>
    </row>
    <row r="145" spans="9:9">
      <c r="I145" s="2"/>
    </row>
    <row r="146" spans="9:9">
      <c r="I146" s="2"/>
    </row>
    <row r="147" spans="9:9">
      <c r="I147" s="2"/>
    </row>
    <row r="148" spans="9:9">
      <c r="I148" s="2"/>
    </row>
    <row r="149" spans="9:9">
      <c r="I149" s="2"/>
    </row>
    <row r="150" spans="9:9">
      <c r="I150" s="2"/>
    </row>
    <row r="151" spans="9:9">
      <c r="I151" s="2"/>
    </row>
    <row r="152" spans="9:9">
      <c r="I152" s="2"/>
    </row>
    <row r="153" spans="9:9">
      <c r="I153" s="2"/>
    </row>
    <row r="154" spans="9:9">
      <c r="I154" s="2"/>
    </row>
    <row r="155" spans="9:9">
      <c r="I155" s="2"/>
    </row>
    <row r="156" spans="9:9">
      <c r="I156" s="2"/>
    </row>
    <row r="157" spans="9:9">
      <c r="I157" s="2"/>
    </row>
    <row r="158" spans="9:9">
      <c r="I158" s="2"/>
    </row>
    <row r="159" spans="9:9">
      <c r="I159" s="2"/>
    </row>
    <row r="160" spans="9:9">
      <c r="I160" s="2"/>
    </row>
    <row r="161" spans="9:9">
      <c r="I161" s="2"/>
    </row>
    <row r="162" spans="9:9">
      <c r="I162" s="2"/>
    </row>
    <row r="163" spans="9:9">
      <c r="I163" s="2"/>
    </row>
    <row r="164" spans="9:9">
      <c r="I164" s="2"/>
    </row>
    <row r="165" spans="9:9">
      <c r="I165" s="2"/>
    </row>
    <row r="166" spans="9:9">
      <c r="I166" s="2"/>
    </row>
    <row r="167" spans="9:9">
      <c r="I167" s="2"/>
    </row>
    <row r="168" spans="9:9">
      <c r="I168" s="2"/>
    </row>
    <row r="169" spans="9:9">
      <c r="I169" s="2"/>
    </row>
    <row r="170" spans="9:9">
      <c r="I170" s="2"/>
    </row>
    <row r="171" spans="9:9">
      <c r="I171" s="2"/>
    </row>
    <row r="172" spans="9:9">
      <c r="I172" s="2"/>
    </row>
    <row r="173" spans="9:9">
      <c r="I173" s="2"/>
    </row>
    <row r="174" spans="9:9">
      <c r="I174" s="2"/>
    </row>
    <row r="175" spans="9:9">
      <c r="I175" s="2"/>
    </row>
    <row r="176" spans="9:9">
      <c r="I176" s="2"/>
    </row>
    <row r="177" spans="9:9">
      <c r="I177" s="2"/>
    </row>
    <row r="178" spans="9:9">
      <c r="I178" s="2"/>
    </row>
    <row r="179" spans="9:9">
      <c r="I179" s="2"/>
    </row>
    <row r="180" spans="9:9">
      <c r="I180" s="2"/>
    </row>
    <row r="181" spans="9:9">
      <c r="I181" s="2"/>
    </row>
    <row r="182" spans="9:9">
      <c r="I182" s="2"/>
    </row>
    <row r="183" spans="9:9">
      <c r="I183" s="2"/>
    </row>
    <row r="184" spans="9:9">
      <c r="I184" s="2"/>
    </row>
    <row r="185" spans="9:9">
      <c r="I185" s="2"/>
    </row>
    <row r="186" spans="9:9">
      <c r="I186" s="2"/>
    </row>
    <row r="187" spans="9:9">
      <c r="I187" s="2"/>
    </row>
    <row r="188" spans="9:9">
      <c r="I188" s="2"/>
    </row>
    <row r="189" spans="9:9">
      <c r="I189" s="2"/>
    </row>
    <row r="190" spans="9:9">
      <c r="I190" s="2"/>
    </row>
    <row r="191" spans="9:9">
      <c r="I191" s="2"/>
    </row>
    <row r="192" spans="9:9">
      <c r="I192" s="2"/>
    </row>
    <row r="193" spans="9:9">
      <c r="I193" s="2"/>
    </row>
    <row r="194" spans="9:9">
      <c r="I194" s="2"/>
    </row>
    <row r="195" spans="9:9">
      <c r="I195" s="2"/>
    </row>
    <row r="196" spans="9:9">
      <c r="I196" s="2"/>
    </row>
    <row r="197" spans="9:9">
      <c r="I197" s="2"/>
    </row>
    <row r="198" spans="9:9">
      <c r="I198" s="2"/>
    </row>
    <row r="199" spans="9:9">
      <c r="I199" s="2"/>
    </row>
    <row r="200" spans="9:9">
      <c r="I200" s="2"/>
    </row>
    <row r="201" spans="9:9">
      <c r="I201" s="2"/>
    </row>
    <row r="202" spans="9:9">
      <c r="I202" s="2"/>
    </row>
    <row r="203" spans="9:9">
      <c r="I203" s="2"/>
    </row>
    <row r="204" spans="9:9">
      <c r="I204" s="2"/>
    </row>
    <row r="205" spans="9:9">
      <c r="I205" s="2"/>
    </row>
    <row r="206" spans="9:9">
      <c r="I206" s="2"/>
    </row>
    <row r="207" spans="9:9">
      <c r="I207" s="2"/>
    </row>
    <row r="208" spans="9:9">
      <c r="I208" s="2"/>
    </row>
    <row r="209" spans="9:9">
      <c r="I209" s="2"/>
    </row>
    <row r="210" spans="9:9">
      <c r="I210" s="2"/>
    </row>
    <row r="211" spans="9:9">
      <c r="I211" s="2"/>
    </row>
    <row r="212" spans="9:9">
      <c r="I212" s="2"/>
    </row>
    <row r="213" spans="9:9">
      <c r="I213" s="2"/>
    </row>
    <row r="214" spans="9:9">
      <c r="I214" s="2"/>
    </row>
    <row r="215" spans="9:9">
      <c r="I215" s="2"/>
    </row>
    <row r="216" spans="9:9">
      <c r="I216" s="2"/>
    </row>
    <row r="217" spans="9:9">
      <c r="I217" s="2"/>
    </row>
    <row r="218" spans="9:9">
      <c r="I218" s="2"/>
    </row>
    <row r="219" spans="9:9">
      <c r="I219" s="2"/>
    </row>
    <row r="220" spans="9:9">
      <c r="I220" s="2"/>
    </row>
    <row r="221" spans="9:9">
      <c r="I221" s="2"/>
    </row>
    <row r="222" spans="9:9">
      <c r="I222" s="2"/>
    </row>
    <row r="223" spans="9:9">
      <c r="I223" s="2"/>
    </row>
    <row r="224" spans="9:9">
      <c r="I224" s="2"/>
    </row>
    <row r="225" spans="9:9">
      <c r="I225" s="2"/>
    </row>
    <row r="226" spans="9:9">
      <c r="I226" s="2"/>
    </row>
    <row r="227" spans="9:9">
      <c r="I227" s="2"/>
    </row>
    <row r="228" spans="9:9">
      <c r="I228" s="2"/>
    </row>
    <row r="229" spans="9:9">
      <c r="I229" s="2"/>
    </row>
    <row r="230" spans="9:9">
      <c r="I230" s="2"/>
    </row>
    <row r="231" spans="9:9">
      <c r="I231" s="2"/>
    </row>
    <row r="232" spans="9:9">
      <c r="I232" s="2"/>
    </row>
    <row r="233" spans="9:9">
      <c r="I233" s="2"/>
    </row>
    <row r="234" spans="9:9">
      <c r="I234" s="2"/>
    </row>
    <row r="235" spans="9:9">
      <c r="I235" s="2"/>
    </row>
    <row r="236" spans="9:9">
      <c r="I236" s="2"/>
    </row>
    <row r="237" spans="9:9">
      <c r="I237" s="2"/>
    </row>
    <row r="238" spans="9:9">
      <c r="I238" s="2"/>
    </row>
    <row r="239" spans="9:9">
      <c r="I239" s="2"/>
    </row>
    <row r="240" spans="9:9">
      <c r="I240" s="2"/>
    </row>
    <row r="241" spans="9:9">
      <c r="I241" s="2"/>
    </row>
    <row r="242" spans="9:9">
      <c r="I242" s="2"/>
    </row>
    <row r="243" spans="9:9">
      <c r="I243" s="2"/>
    </row>
    <row r="244" spans="9:9">
      <c r="I244" s="2"/>
    </row>
    <row r="245" spans="9:9">
      <c r="I245" s="2"/>
    </row>
    <row r="246" spans="9:9">
      <c r="I246" s="2"/>
    </row>
    <row r="247" spans="9:9">
      <c r="I247" s="2"/>
    </row>
    <row r="248" spans="9:9">
      <c r="I248" s="2"/>
    </row>
    <row r="249" spans="9:9">
      <c r="I249" s="2"/>
    </row>
    <row r="250" spans="9:9">
      <c r="I250" s="2"/>
    </row>
    <row r="251" spans="9:9">
      <c r="I251" s="2"/>
    </row>
    <row r="252" spans="9:9">
      <c r="I252" s="2"/>
    </row>
    <row r="253" spans="9:9">
      <c r="I253" s="2"/>
    </row>
    <row r="254" spans="9:9">
      <c r="I254" s="2"/>
    </row>
    <row r="255" spans="9:9">
      <c r="I255" s="2"/>
    </row>
    <row r="256" spans="9:9">
      <c r="I256" s="2"/>
    </row>
    <row r="257" spans="9:9">
      <c r="I257" s="2"/>
    </row>
    <row r="258" spans="9:9">
      <c r="I258" s="2"/>
    </row>
    <row r="259" spans="9:9">
      <c r="I259" s="2"/>
    </row>
    <row r="260" spans="9:9">
      <c r="I260" s="2"/>
    </row>
    <row r="261" spans="9:9">
      <c r="I261" s="2"/>
    </row>
    <row r="262" spans="9:9">
      <c r="I262" s="2"/>
    </row>
    <row r="263" spans="9:9">
      <c r="I263" s="2"/>
    </row>
    <row r="264" spans="9:9">
      <c r="I264" s="2"/>
    </row>
    <row r="265" spans="9:9">
      <c r="I265" s="2"/>
    </row>
    <row r="266" spans="9:9">
      <c r="I266" s="2"/>
    </row>
    <row r="267" spans="9:9">
      <c r="I267" s="2"/>
    </row>
    <row r="268" spans="9:9">
      <c r="I268" s="2"/>
    </row>
    <row r="269" spans="9:9">
      <c r="I269" s="2"/>
    </row>
    <row r="270" spans="9:9">
      <c r="I270" s="2"/>
    </row>
    <row r="271" spans="9:9">
      <c r="I271" s="2"/>
    </row>
    <row r="272" spans="9:9">
      <c r="I272" s="2"/>
    </row>
    <row r="273" spans="9:9">
      <c r="I273" s="2"/>
    </row>
    <row r="274" spans="9:9">
      <c r="I274" s="2"/>
    </row>
    <row r="275" spans="9:9">
      <c r="I275" s="2"/>
    </row>
    <row r="276" spans="9:9">
      <c r="I276" s="2"/>
    </row>
    <row r="277" spans="9:9">
      <c r="I277" s="2"/>
    </row>
    <row r="278" spans="9:9">
      <c r="I278" s="2"/>
    </row>
    <row r="279" spans="9:9">
      <c r="I279" s="2"/>
    </row>
    <row r="280" spans="9:9">
      <c r="I280" s="2"/>
    </row>
    <row r="281" spans="9:9">
      <c r="I281" s="2"/>
    </row>
    <row r="282" spans="9:9">
      <c r="I282" s="2"/>
    </row>
    <row r="283" spans="9:9">
      <c r="I283" s="2"/>
    </row>
    <row r="284" spans="9:9">
      <c r="I284" s="2"/>
    </row>
    <row r="285" spans="9:9">
      <c r="I285" s="2"/>
    </row>
    <row r="286" spans="9:9">
      <c r="I286" s="2"/>
    </row>
    <row r="287" spans="9:9">
      <c r="I287" s="2"/>
    </row>
    <row r="288" spans="9:9">
      <c r="I288" s="2"/>
    </row>
    <row r="289" spans="9:9">
      <c r="I289" s="2"/>
    </row>
    <row r="290" spans="9:9">
      <c r="I290" s="2"/>
    </row>
    <row r="291" spans="9:9">
      <c r="I291" s="2"/>
    </row>
    <row r="292" spans="9:9">
      <c r="I292" s="2"/>
    </row>
    <row r="293" spans="9:9">
      <c r="I293" s="2"/>
    </row>
    <row r="294" spans="9:9">
      <c r="I294" s="2"/>
    </row>
    <row r="295" spans="9:9">
      <c r="I295" s="2"/>
    </row>
    <row r="296" spans="9:9">
      <c r="I296" s="2"/>
    </row>
    <row r="297" spans="9:9">
      <c r="I297" s="2"/>
    </row>
    <row r="298" spans="9:9">
      <c r="I298" s="2"/>
    </row>
    <row r="299" spans="9:9">
      <c r="I299" s="2"/>
    </row>
    <row r="300" spans="9:9">
      <c r="I300" s="2"/>
    </row>
    <row r="301" spans="9:9">
      <c r="I301" s="2"/>
    </row>
    <row r="302" spans="9:9">
      <c r="I302" s="2"/>
    </row>
    <row r="303" spans="9:9">
      <c r="I303" s="2"/>
    </row>
    <row r="304" spans="9:9">
      <c r="I304" s="2"/>
    </row>
    <row r="305" spans="9:9">
      <c r="I305" s="2"/>
    </row>
    <row r="306" spans="9:9">
      <c r="I306" s="2"/>
    </row>
    <row r="307" spans="9:9">
      <c r="I307" s="2"/>
    </row>
    <row r="308" spans="9:9">
      <c r="I308" s="2"/>
    </row>
    <row r="309" spans="9:9">
      <c r="I309" s="2"/>
    </row>
    <row r="310" spans="9:9">
      <c r="I310" s="2"/>
    </row>
    <row r="311" spans="9:9">
      <c r="I311" s="2"/>
    </row>
    <row r="312" spans="9:9">
      <c r="I312" s="2"/>
    </row>
    <row r="313" spans="9:9">
      <c r="I313" s="2"/>
    </row>
    <row r="314" spans="9:9">
      <c r="I314" s="2"/>
    </row>
    <row r="315" spans="9:9">
      <c r="I315" s="2"/>
    </row>
    <row r="316" spans="9:9">
      <c r="I316" s="2"/>
    </row>
    <row r="317" spans="9:9">
      <c r="I317" s="2"/>
    </row>
    <row r="318" spans="9:9">
      <c r="I318" s="2"/>
    </row>
    <row r="319" spans="9:9">
      <c r="I319" s="2"/>
    </row>
    <row r="320" spans="9:9">
      <c r="I320" s="2"/>
    </row>
    <row r="321" spans="9:9">
      <c r="I321" s="2"/>
    </row>
    <row r="322" spans="9:9">
      <c r="I322" s="2"/>
    </row>
    <row r="323" spans="9:9">
      <c r="I323" s="2"/>
    </row>
    <row r="324" spans="9:9">
      <c r="I324" s="2"/>
    </row>
    <row r="325" spans="9:9">
      <c r="I325" s="2"/>
    </row>
    <row r="326" spans="9:9">
      <c r="I326" s="2"/>
    </row>
    <row r="327" spans="9:9">
      <c r="I327" s="2"/>
    </row>
    <row r="328" spans="9:9">
      <c r="I328" s="2"/>
    </row>
    <row r="329" spans="9:9">
      <c r="I329" s="2"/>
    </row>
    <row r="330" spans="9:9">
      <c r="I330" s="2"/>
    </row>
    <row r="331" spans="9:9">
      <c r="I331" s="2"/>
    </row>
    <row r="332" spans="9:9">
      <c r="I332" s="2"/>
    </row>
    <row r="333" spans="9:9">
      <c r="I333" s="2"/>
    </row>
    <row r="334" spans="9:9">
      <c r="I334" s="2"/>
    </row>
    <row r="335" spans="9:9">
      <c r="I335" s="2"/>
    </row>
    <row r="336" spans="9:9">
      <c r="I336" s="2"/>
    </row>
    <row r="337" spans="9:9">
      <c r="I337" s="2"/>
    </row>
    <row r="338" spans="9:9">
      <c r="I338" s="2"/>
    </row>
    <row r="339" spans="9:9">
      <c r="I339" s="2"/>
    </row>
    <row r="340" spans="9:9">
      <c r="I340" s="2"/>
    </row>
    <row r="341" spans="9:9">
      <c r="I341" s="2"/>
    </row>
    <row r="342" spans="9:9">
      <c r="I342" s="2"/>
    </row>
    <row r="343" spans="9:9">
      <c r="I343" s="2"/>
    </row>
    <row r="344" spans="9:9">
      <c r="I344" s="2"/>
    </row>
    <row r="345" spans="9:9">
      <c r="I345" s="2"/>
    </row>
    <row r="346" spans="9:9">
      <c r="I346" s="2"/>
    </row>
    <row r="347" spans="9:9">
      <c r="I347" s="2"/>
    </row>
    <row r="348" spans="9:9">
      <c r="I348" s="2"/>
    </row>
    <row r="349" spans="9:9">
      <c r="I349" s="2"/>
    </row>
    <row r="350" spans="9:9">
      <c r="I350" s="2"/>
    </row>
    <row r="351" spans="9:9">
      <c r="I351" s="2"/>
    </row>
    <row r="352" spans="9:9">
      <c r="I352" s="2"/>
    </row>
    <row r="353" spans="9:9">
      <c r="I353" s="2"/>
    </row>
    <row r="354" spans="9:9">
      <c r="I354" s="2"/>
    </row>
    <row r="355" spans="9:9">
      <c r="I355" s="2"/>
    </row>
    <row r="356" spans="9:9">
      <c r="I356" s="2"/>
    </row>
    <row r="357" spans="9:9">
      <c r="I357" s="2"/>
    </row>
    <row r="358" spans="9:9">
      <c r="I358" s="2"/>
    </row>
    <row r="359" spans="9:9">
      <c r="I359" s="2"/>
    </row>
    <row r="360" spans="9:9">
      <c r="I360" s="2"/>
    </row>
    <row r="361" spans="9:9">
      <c r="I361" s="2"/>
    </row>
    <row r="362" spans="9:9">
      <c r="I362" s="2"/>
    </row>
    <row r="363" spans="9:9">
      <c r="I363" s="2"/>
    </row>
    <row r="364" spans="9:9">
      <c r="I364" s="2"/>
    </row>
    <row r="365" spans="9:9">
      <c r="I365" s="2"/>
    </row>
    <row r="366" spans="9:9">
      <c r="I366" s="2"/>
    </row>
    <row r="367" spans="9:9">
      <c r="I367" s="2"/>
    </row>
    <row r="368" spans="9:9">
      <c r="I368" s="2"/>
    </row>
    <row r="369" spans="9:9">
      <c r="I369" s="2"/>
    </row>
    <row r="370" spans="9:9">
      <c r="I370" s="2"/>
    </row>
    <row r="371" spans="9:9">
      <c r="I371" s="2"/>
    </row>
    <row r="372" spans="9:9">
      <c r="I372" s="2"/>
    </row>
    <row r="373" spans="9:9">
      <c r="I373" s="2"/>
    </row>
    <row r="374" spans="9:9">
      <c r="I374" s="2"/>
    </row>
    <row r="375" spans="9:9">
      <c r="I375" s="2"/>
    </row>
    <row r="376" spans="9:9">
      <c r="I376" s="2"/>
    </row>
    <row r="377" spans="9:9">
      <c r="I377" s="2"/>
    </row>
    <row r="378" spans="9:9">
      <c r="I378" s="2"/>
    </row>
    <row r="379" spans="9:9">
      <c r="I379" s="2"/>
    </row>
    <row r="380" spans="9:9">
      <c r="I380" s="2"/>
    </row>
    <row r="381" spans="9:9">
      <c r="I381" s="2"/>
    </row>
    <row r="382" spans="9:9">
      <c r="I382" s="2"/>
    </row>
    <row r="383" spans="9:9">
      <c r="I383" s="2"/>
    </row>
    <row r="384" spans="9:9">
      <c r="I384" s="2"/>
    </row>
    <row r="385" spans="9:9">
      <c r="I385" s="2"/>
    </row>
    <row r="386" spans="9:9">
      <c r="I386" s="2"/>
    </row>
    <row r="387" spans="9:9">
      <c r="I387" s="2"/>
    </row>
    <row r="388" spans="9:9">
      <c r="I388" s="2"/>
    </row>
    <row r="389" spans="9:9">
      <c r="I389" s="2"/>
    </row>
    <row r="390" spans="9:9">
      <c r="I390" s="2"/>
    </row>
    <row r="391" spans="9:9">
      <c r="I391" s="2"/>
    </row>
    <row r="392" spans="9:9">
      <c r="I392" s="2"/>
    </row>
    <row r="393" spans="9:9">
      <c r="I393" s="2"/>
    </row>
    <row r="394" spans="9:9">
      <c r="I394" s="2"/>
    </row>
    <row r="395" spans="9:9">
      <c r="I395" s="2"/>
    </row>
    <row r="396" spans="9:9">
      <c r="I396" s="2"/>
    </row>
    <row r="397" spans="9:9">
      <c r="I397" s="2"/>
    </row>
    <row r="398" spans="9:9">
      <c r="I398" s="2"/>
    </row>
    <row r="399" spans="9:9">
      <c r="I399" s="2"/>
    </row>
    <row r="400" spans="9:9">
      <c r="I400" s="2"/>
    </row>
    <row r="401" spans="9:9">
      <c r="I401" s="2"/>
    </row>
    <row r="402" spans="9:9">
      <c r="I402" s="2"/>
    </row>
    <row r="403" spans="9:9">
      <c r="I403" s="2"/>
    </row>
    <row r="404" spans="9:9">
      <c r="I404" s="2"/>
    </row>
    <row r="405" spans="9:9">
      <c r="I405" s="2"/>
    </row>
    <row r="406" spans="9:9">
      <c r="I406" s="2"/>
    </row>
    <row r="407" spans="9:9">
      <c r="I407" s="2"/>
    </row>
    <row r="408" spans="9:9">
      <c r="I408" s="2"/>
    </row>
    <row r="409" spans="9:9">
      <c r="I409" s="2"/>
    </row>
    <row r="410" spans="9:9">
      <c r="I410" s="2"/>
    </row>
    <row r="411" spans="9:9">
      <c r="I411" s="2"/>
    </row>
    <row r="412" spans="9:9">
      <c r="I412" s="2"/>
    </row>
    <row r="413" spans="9:9">
      <c r="I413" s="2"/>
    </row>
    <row r="414" spans="9:9">
      <c r="I414" s="2"/>
    </row>
    <row r="415" spans="9:9">
      <c r="I415" s="2"/>
    </row>
    <row r="416" spans="9:9">
      <c r="I416" s="2"/>
    </row>
    <row r="417" spans="9:9">
      <c r="I417" s="2"/>
    </row>
    <row r="418" spans="9:9">
      <c r="I418" s="2"/>
    </row>
    <row r="419" spans="9:9">
      <c r="I419" s="2"/>
    </row>
    <row r="420" spans="9:9">
      <c r="I420" s="2"/>
    </row>
    <row r="421" spans="9:9">
      <c r="I421" s="2"/>
    </row>
    <row r="422" spans="9:9">
      <c r="I422" s="2"/>
    </row>
    <row r="423" spans="9:9">
      <c r="I423" s="2"/>
    </row>
    <row r="424" spans="9:9">
      <c r="I424" s="2"/>
    </row>
    <row r="425" spans="9:9">
      <c r="I425" s="2"/>
    </row>
    <row r="426" spans="9:9">
      <c r="I426" s="2"/>
    </row>
    <row r="427" spans="9:9">
      <c r="I427" s="2"/>
    </row>
    <row r="428" spans="9:9">
      <c r="I428" s="2"/>
    </row>
    <row r="429" spans="9:9">
      <c r="I429" s="2"/>
    </row>
    <row r="430" spans="9:9">
      <c r="I430" s="2"/>
    </row>
    <row r="431" spans="9:9">
      <c r="I431" s="2"/>
    </row>
    <row r="432" spans="9:9">
      <c r="I432" s="2"/>
    </row>
    <row r="433" spans="9:9">
      <c r="I433" s="2"/>
    </row>
    <row r="434" spans="9:9">
      <c r="I434" s="2"/>
    </row>
    <row r="435" spans="9:9">
      <c r="I435" s="2"/>
    </row>
    <row r="436" spans="9:9">
      <c r="I436" s="2"/>
    </row>
    <row r="437" spans="9:9">
      <c r="I437" s="2"/>
    </row>
    <row r="438" spans="9:9">
      <c r="I438" s="2"/>
    </row>
    <row r="439" spans="9:9">
      <c r="I439" s="2"/>
    </row>
    <row r="440" spans="9:9">
      <c r="I440" s="2"/>
    </row>
    <row r="441" spans="9:9">
      <c r="I441" s="2"/>
    </row>
    <row r="442" spans="9:9">
      <c r="I442" s="2"/>
    </row>
    <row r="443" spans="9:9">
      <c r="I443" s="2"/>
    </row>
    <row r="444" spans="9:9">
      <c r="I444" s="2"/>
    </row>
    <row r="445" spans="9:9">
      <c r="I445" s="2"/>
    </row>
    <row r="446" spans="9:9">
      <c r="I446" s="2"/>
    </row>
    <row r="447" spans="9:9">
      <c r="I447" s="2"/>
    </row>
    <row r="448" spans="9:9">
      <c r="I448" s="2"/>
    </row>
    <row r="449" spans="9:9">
      <c r="I449" s="2"/>
    </row>
    <row r="450" spans="9:9">
      <c r="I450" s="2"/>
    </row>
    <row r="451" spans="9:9">
      <c r="I451" s="2"/>
    </row>
    <row r="452" spans="9:9">
      <c r="I452" s="2"/>
    </row>
    <row r="453" spans="9:9">
      <c r="I453" s="2"/>
    </row>
    <row r="454" spans="9:9">
      <c r="I454" s="2"/>
    </row>
    <row r="455" spans="9:9">
      <c r="I455" s="2"/>
    </row>
    <row r="456" spans="9:9">
      <c r="I456" s="2"/>
    </row>
    <row r="457" spans="9:9">
      <c r="I457" s="2"/>
    </row>
    <row r="458" spans="9:9">
      <c r="I458" s="2"/>
    </row>
    <row r="459" spans="9:9">
      <c r="I459" s="2"/>
    </row>
    <row r="460" spans="9:9">
      <c r="I460" s="2"/>
    </row>
    <row r="461" spans="9:9">
      <c r="I461" s="2"/>
    </row>
    <row r="462" spans="9:9">
      <c r="I462" s="2"/>
    </row>
    <row r="463" spans="9:9">
      <c r="I463" s="2"/>
    </row>
    <row r="464" spans="9:9">
      <c r="I464" s="2"/>
    </row>
    <row r="465" spans="9:9">
      <c r="I465" s="2"/>
    </row>
    <row r="466" spans="9:9">
      <c r="I466" s="2"/>
    </row>
    <row r="467" spans="9:9">
      <c r="I467" s="2"/>
    </row>
    <row r="468" spans="9:9">
      <c r="I468" s="2"/>
    </row>
    <row r="469" spans="9:9">
      <c r="I469" s="2"/>
    </row>
    <row r="470" spans="9:9">
      <c r="I470" s="2"/>
    </row>
    <row r="471" spans="9:9">
      <c r="I471" s="2"/>
    </row>
    <row r="472" spans="9:9">
      <c r="I472" s="2"/>
    </row>
    <row r="473" spans="9:9">
      <c r="I473" s="2"/>
    </row>
    <row r="474" spans="9:9">
      <c r="I474" s="2"/>
    </row>
    <row r="475" spans="9:9">
      <c r="I475" s="2"/>
    </row>
    <row r="476" spans="9:9">
      <c r="I476" s="2"/>
    </row>
    <row r="477" spans="9:9">
      <c r="I477" s="2"/>
    </row>
    <row r="478" spans="9:9">
      <c r="I478" s="2"/>
    </row>
    <row r="479" spans="9:9">
      <c r="I479" s="2"/>
    </row>
    <row r="480" spans="9:9">
      <c r="I480" s="2"/>
    </row>
    <row r="481" spans="9:9">
      <c r="I481" s="2"/>
    </row>
    <row r="482" spans="9:9">
      <c r="I482" s="2"/>
    </row>
    <row r="483" spans="9:9">
      <c r="I483" s="2"/>
    </row>
    <row r="484" spans="9:9">
      <c r="I484" s="2"/>
    </row>
    <row r="485" spans="9:9">
      <c r="I485" s="2"/>
    </row>
    <row r="486" spans="9:9">
      <c r="I486" s="2"/>
    </row>
    <row r="487" spans="9:9">
      <c r="I487" s="2"/>
    </row>
    <row r="488" spans="9:9">
      <c r="I488" s="2"/>
    </row>
    <row r="489" spans="9:9">
      <c r="I489" s="2"/>
    </row>
    <row r="490" spans="9:9">
      <c r="I490" s="2"/>
    </row>
    <row r="491" spans="9:9">
      <c r="I491" s="2"/>
    </row>
    <row r="492" spans="9:9">
      <c r="I492" s="2"/>
    </row>
    <row r="493" spans="9:9">
      <c r="I493" s="2"/>
    </row>
    <row r="494" spans="9:9">
      <c r="I494" s="2"/>
    </row>
    <row r="495" spans="9:9">
      <c r="I495" s="2"/>
    </row>
    <row r="496" spans="9:9">
      <c r="I496" s="2"/>
    </row>
    <row r="497" spans="9:9">
      <c r="I497" s="2"/>
    </row>
    <row r="498" spans="9:9">
      <c r="I498" s="2"/>
    </row>
    <row r="499" spans="9:9">
      <c r="I499" s="2"/>
    </row>
    <row r="500" spans="9:9">
      <c r="I500" s="2"/>
    </row>
    <row r="501" spans="9:9">
      <c r="I501" s="2"/>
    </row>
    <row r="502" spans="9:9">
      <c r="I502" s="2"/>
    </row>
    <row r="503" spans="9:9">
      <c r="I503" s="2"/>
    </row>
    <row r="504" spans="9:9">
      <c r="I504" s="2"/>
    </row>
    <row r="505" spans="9:9">
      <c r="I505" s="2"/>
    </row>
    <row r="506" spans="9:9">
      <c r="I506" s="2"/>
    </row>
    <row r="507" spans="9:9">
      <c r="I507" s="2"/>
    </row>
    <row r="508" spans="9:9">
      <c r="I508" s="2"/>
    </row>
    <row r="509" spans="9:9">
      <c r="I509" s="2"/>
    </row>
    <row r="510" spans="9:9">
      <c r="I510" s="2"/>
    </row>
    <row r="511" spans="9:9">
      <c r="I511" s="2"/>
    </row>
    <row r="512" spans="9:9">
      <c r="I512" s="2"/>
    </row>
    <row r="513" spans="9:9">
      <c r="I513" s="2"/>
    </row>
    <row r="514" spans="9:9">
      <c r="I514" s="2"/>
    </row>
    <row r="515" spans="9:9">
      <c r="I515" s="2"/>
    </row>
    <row r="516" spans="9:9">
      <c r="I516" s="2"/>
    </row>
    <row r="517" spans="9:9">
      <c r="I517" s="2"/>
    </row>
    <row r="518" spans="9:9">
      <c r="I518" s="2"/>
    </row>
    <row r="519" spans="9:9">
      <c r="I519" s="2"/>
    </row>
    <row r="520" spans="9:9">
      <c r="I520" s="2"/>
    </row>
    <row r="521" spans="9:9">
      <c r="I521" s="2"/>
    </row>
    <row r="522" spans="9:9">
      <c r="I522" s="2"/>
    </row>
    <row r="523" spans="9:9">
      <c r="I523" s="2"/>
    </row>
    <row r="524" spans="9:9">
      <c r="I524" s="2"/>
    </row>
    <row r="525" spans="9:9">
      <c r="I525" s="2"/>
    </row>
    <row r="526" spans="9:9">
      <c r="I526" s="2"/>
    </row>
    <row r="527" spans="9:9">
      <c r="I527" s="2"/>
    </row>
    <row r="528" spans="9:9">
      <c r="I528" s="2"/>
    </row>
    <row r="529" spans="9:9">
      <c r="I529" s="2"/>
    </row>
    <row r="530" spans="9:9">
      <c r="I530" s="2"/>
    </row>
    <row r="531" spans="9:9">
      <c r="I531" s="2"/>
    </row>
    <row r="532" spans="9:9">
      <c r="I532" s="2"/>
    </row>
    <row r="533" spans="9:9">
      <c r="I533" s="2"/>
    </row>
    <row r="534" spans="9:9">
      <c r="I534" s="2"/>
    </row>
    <row r="535" spans="9:9">
      <c r="I535" s="2"/>
    </row>
    <row r="536" spans="9:9">
      <c r="I536" s="2"/>
    </row>
    <row r="537" spans="9:9">
      <c r="I537" s="2"/>
    </row>
    <row r="538" spans="9:9">
      <c r="I538" s="2"/>
    </row>
    <row r="539" spans="9:9">
      <c r="I539" s="2"/>
    </row>
    <row r="540" spans="9:9">
      <c r="I540" s="2"/>
    </row>
    <row r="541" spans="9:9">
      <c r="I541" s="2"/>
    </row>
    <row r="542" spans="9:9">
      <c r="I542" s="2"/>
    </row>
    <row r="543" spans="9:9">
      <c r="I543" s="2"/>
    </row>
    <row r="544" spans="9:9">
      <c r="I544" s="2"/>
    </row>
    <row r="545" spans="9:9">
      <c r="I545" s="2"/>
    </row>
    <row r="546" spans="9:9">
      <c r="I546" s="2"/>
    </row>
    <row r="547" spans="9:9">
      <c r="I547" s="2"/>
    </row>
    <row r="548" spans="9:9">
      <c r="I548" s="2"/>
    </row>
    <row r="549" spans="9:9">
      <c r="I549" s="2"/>
    </row>
    <row r="550" spans="9:9">
      <c r="I550" s="2"/>
    </row>
    <row r="551" spans="9:9">
      <c r="I551" s="2"/>
    </row>
    <row r="552" spans="9:9">
      <c r="I552" s="2"/>
    </row>
    <row r="553" spans="9:9">
      <c r="I553" s="2"/>
    </row>
    <row r="554" spans="9:9">
      <c r="I554" s="2"/>
    </row>
    <row r="555" spans="9:9">
      <c r="I555" s="2"/>
    </row>
    <row r="556" spans="9:9">
      <c r="I556" s="2"/>
    </row>
    <row r="557" spans="9:9">
      <c r="I557" s="2"/>
    </row>
    <row r="558" spans="9:9">
      <c r="I558" s="2"/>
    </row>
    <row r="559" spans="9:9">
      <c r="I559" s="2"/>
    </row>
    <row r="560" spans="9:9">
      <c r="I560" s="2"/>
    </row>
    <row r="561" spans="9:9">
      <c r="I561" s="2"/>
    </row>
    <row r="562" spans="9:9">
      <c r="I562" s="2"/>
    </row>
    <row r="563" spans="9:9">
      <c r="I563" s="2"/>
    </row>
    <row r="564" spans="9:9">
      <c r="I564" s="2"/>
    </row>
    <row r="565" spans="9:9">
      <c r="I565" s="2"/>
    </row>
    <row r="566" spans="9:9">
      <c r="I566" s="2"/>
    </row>
    <row r="567" spans="9:9">
      <c r="I567" s="2"/>
    </row>
    <row r="568" spans="9:9">
      <c r="I568" s="2"/>
    </row>
    <row r="569" spans="9:9">
      <c r="I569" s="2"/>
    </row>
    <row r="570" spans="9:9">
      <c r="I570" s="2"/>
    </row>
    <row r="571" spans="9:9">
      <c r="I571" s="2"/>
    </row>
    <row r="572" spans="9:9">
      <c r="I572" s="2"/>
    </row>
    <row r="573" spans="9:9">
      <c r="I573" s="2"/>
    </row>
    <row r="574" spans="9:9">
      <c r="I574" s="2"/>
    </row>
    <row r="575" spans="9:9">
      <c r="I575" s="2"/>
    </row>
    <row r="576" spans="9:9">
      <c r="I576" s="2"/>
    </row>
    <row r="577" spans="9:9">
      <c r="I577" s="2"/>
    </row>
    <row r="578" spans="9:9">
      <c r="I578" s="2"/>
    </row>
    <row r="579" spans="9:9">
      <c r="I579" s="2"/>
    </row>
    <row r="580" spans="9:9">
      <c r="I580" s="2"/>
    </row>
    <row r="581" spans="9:9">
      <c r="I581" s="2"/>
    </row>
    <row r="582" spans="9:9">
      <c r="I582" s="2"/>
    </row>
    <row r="583" spans="9:9">
      <c r="I583" s="2"/>
    </row>
    <row r="584" spans="9:9">
      <c r="I584" s="2"/>
    </row>
    <row r="585" spans="9:9">
      <c r="I585" s="2"/>
    </row>
    <row r="586" spans="9:9">
      <c r="I586" s="2"/>
    </row>
    <row r="587" spans="9:9">
      <c r="I587" s="2"/>
    </row>
    <row r="588" spans="9:9">
      <c r="I588" s="2"/>
    </row>
    <row r="589" spans="9:9">
      <c r="I589" s="2"/>
    </row>
    <row r="590" spans="9:9">
      <c r="I590" s="2"/>
    </row>
    <row r="591" spans="9:9">
      <c r="I591" s="2"/>
    </row>
    <row r="592" spans="9:9">
      <c r="I592" s="2"/>
    </row>
    <row r="593" spans="9:9">
      <c r="I593" s="2"/>
    </row>
    <row r="594" spans="9:9">
      <c r="I594" s="2"/>
    </row>
    <row r="595" spans="9:9">
      <c r="I595" s="2"/>
    </row>
    <row r="596" spans="9:9">
      <c r="I596" s="2"/>
    </row>
    <row r="597" spans="9:9">
      <c r="I597" s="2"/>
    </row>
    <row r="598" spans="9:9">
      <c r="I598" s="2"/>
    </row>
    <row r="599" spans="9:9">
      <c r="I599" s="2"/>
    </row>
    <row r="600" spans="9:9">
      <c r="I600" s="2"/>
    </row>
    <row r="601" spans="9:9">
      <c r="I601" s="2"/>
    </row>
    <row r="602" spans="9:9">
      <c r="I602" s="2"/>
    </row>
    <row r="603" spans="9:9">
      <c r="I603" s="2"/>
    </row>
    <row r="604" spans="9:9">
      <c r="I604" s="2"/>
    </row>
    <row r="605" spans="9:9">
      <c r="I605" s="2"/>
    </row>
    <row r="606" spans="9:9">
      <c r="I606" s="2"/>
    </row>
    <row r="607" spans="9:9">
      <c r="I607" s="2"/>
    </row>
    <row r="608" spans="9:9">
      <c r="I608" s="2"/>
    </row>
    <row r="609" spans="9:9">
      <c r="I609" s="2"/>
    </row>
    <row r="610" spans="9:9">
      <c r="I610" s="2"/>
    </row>
    <row r="611" spans="9:9">
      <c r="I611" s="2"/>
    </row>
    <row r="612" spans="9:9">
      <c r="I612" s="2"/>
    </row>
    <row r="613" spans="9:9">
      <c r="I613" s="2"/>
    </row>
    <row r="614" spans="9:9">
      <c r="I614" s="2"/>
    </row>
    <row r="615" spans="9:9">
      <c r="I615" s="2"/>
    </row>
    <row r="616" spans="9:9">
      <c r="I616" s="2"/>
    </row>
    <row r="617" spans="9:9">
      <c r="I617" s="2"/>
    </row>
    <row r="618" spans="9:9">
      <c r="I618" s="2"/>
    </row>
    <row r="619" spans="9:9">
      <c r="I619" s="2"/>
    </row>
    <row r="620" spans="9:9">
      <c r="I620" s="2"/>
    </row>
    <row r="621" spans="9:9">
      <c r="I621" s="2"/>
    </row>
    <row r="622" spans="9:9">
      <c r="I622" s="2"/>
    </row>
    <row r="623" spans="9:9">
      <c r="I623" s="2"/>
    </row>
    <row r="624" spans="9:9">
      <c r="I624" s="2"/>
    </row>
    <row r="625" spans="9:9">
      <c r="I625" s="2"/>
    </row>
    <row r="626" spans="9:9">
      <c r="I626" s="2"/>
    </row>
    <row r="627" spans="9:9">
      <c r="I627" s="2"/>
    </row>
    <row r="628" spans="9:9">
      <c r="I628" s="2"/>
    </row>
    <row r="629" spans="9:9">
      <c r="I629" s="2"/>
    </row>
    <row r="630" spans="9:9">
      <c r="I630" s="2"/>
    </row>
    <row r="631" spans="9:9">
      <c r="I631" s="2"/>
    </row>
    <row r="632" spans="9:9">
      <c r="I632" s="2"/>
    </row>
    <row r="633" spans="9:9">
      <c r="I633" s="2"/>
    </row>
    <row r="634" spans="9:9">
      <c r="I634" s="2"/>
    </row>
    <row r="635" spans="9:9">
      <c r="I635" s="2"/>
    </row>
    <row r="636" spans="9:9">
      <c r="I636" s="2"/>
    </row>
    <row r="637" spans="9:9">
      <c r="I637" s="2"/>
    </row>
    <row r="638" spans="9:9">
      <c r="I638" s="2"/>
    </row>
    <row r="639" spans="9:9">
      <c r="I639" s="2"/>
    </row>
    <row r="640" spans="9:9">
      <c r="I640" s="2"/>
    </row>
    <row r="641" spans="9:9">
      <c r="I641" s="2"/>
    </row>
    <row r="642" spans="9:9">
      <c r="I642" s="2"/>
    </row>
    <row r="643" spans="9:9">
      <c r="I643" s="2"/>
    </row>
    <row r="644" spans="9:9">
      <c r="I644" s="2"/>
    </row>
    <row r="645" spans="9:9">
      <c r="I645" s="2"/>
    </row>
    <row r="646" spans="9:9">
      <c r="I646" s="2"/>
    </row>
    <row r="647" spans="9:9">
      <c r="I647" s="2"/>
    </row>
    <row r="648" spans="9:9">
      <c r="I648" s="2"/>
    </row>
    <row r="649" spans="9:9">
      <c r="I649" s="2"/>
    </row>
    <row r="650" spans="9:9">
      <c r="I650" s="2"/>
    </row>
    <row r="651" spans="9:9">
      <c r="I651" s="2"/>
    </row>
    <row r="652" spans="9:9">
      <c r="I652" s="2"/>
    </row>
    <row r="653" spans="9:9">
      <c r="I653" s="2"/>
    </row>
    <row r="654" spans="9:9">
      <c r="I654" s="2"/>
    </row>
    <row r="655" spans="9:9">
      <c r="I655" s="2"/>
    </row>
    <row r="656" spans="9:9">
      <c r="I656" s="2"/>
    </row>
    <row r="657" spans="9:9">
      <c r="I657" s="2"/>
    </row>
    <row r="658" spans="9:9">
      <c r="I658" s="2"/>
    </row>
    <row r="659" spans="9:9">
      <c r="I659" s="2"/>
    </row>
    <row r="660" spans="9:9">
      <c r="I660" s="2"/>
    </row>
    <row r="661" spans="9:9">
      <c r="I661" s="2"/>
    </row>
    <row r="662" spans="9:9">
      <c r="I662" s="2"/>
    </row>
    <row r="663" spans="9:9">
      <c r="I663" s="2"/>
    </row>
    <row r="664" spans="9:9">
      <c r="I664" s="2"/>
    </row>
    <row r="665" spans="9:9">
      <c r="I665" s="2"/>
    </row>
    <row r="666" spans="9:9">
      <c r="I666" s="2"/>
    </row>
    <row r="667" spans="9:9">
      <c r="I667" s="2"/>
    </row>
    <row r="668" spans="9:9">
      <c r="I668" s="2"/>
    </row>
    <row r="669" spans="9:9">
      <c r="I669" s="2"/>
    </row>
    <row r="670" spans="9:9">
      <c r="I670" s="2"/>
    </row>
    <row r="671" spans="9:9">
      <c r="I671" s="2"/>
    </row>
    <row r="672" spans="9:9">
      <c r="I672" s="2"/>
    </row>
    <row r="673" spans="9:9">
      <c r="I673" s="2"/>
    </row>
    <row r="674" spans="9:9">
      <c r="I674" s="2"/>
    </row>
    <row r="675" spans="9:9">
      <c r="I675" s="2"/>
    </row>
    <row r="676" spans="9:9">
      <c r="I676" s="2"/>
    </row>
    <row r="677" spans="9:9">
      <c r="I677" s="2"/>
    </row>
    <row r="678" spans="9:9">
      <c r="I678" s="2"/>
    </row>
    <row r="679" spans="9:9">
      <c r="I679" s="2"/>
    </row>
    <row r="680" spans="9:9">
      <c r="I680" s="2"/>
    </row>
    <row r="681" spans="9:9">
      <c r="I681" s="2"/>
    </row>
    <row r="682" spans="9:9">
      <c r="I682" s="2"/>
    </row>
    <row r="683" spans="9:9">
      <c r="I683" s="2"/>
    </row>
    <row r="684" spans="9:9">
      <c r="I684" s="2"/>
    </row>
    <row r="685" spans="9:9">
      <c r="I685" s="2"/>
    </row>
    <row r="686" spans="9:9">
      <c r="I686" s="2"/>
    </row>
    <row r="687" spans="9:9">
      <c r="I687" s="2"/>
    </row>
    <row r="688" spans="9:9">
      <c r="I688" s="2"/>
    </row>
    <row r="689" spans="9:9">
      <c r="I689" s="2"/>
    </row>
    <row r="690" spans="9:9">
      <c r="I690" s="2"/>
    </row>
    <row r="691" spans="9:9">
      <c r="I691" s="2"/>
    </row>
    <row r="692" spans="9:9">
      <c r="I692" s="2"/>
    </row>
    <row r="693" spans="9:9">
      <c r="I693" s="2"/>
    </row>
    <row r="694" spans="9:9">
      <c r="I694" s="2"/>
    </row>
    <row r="695" spans="9:9">
      <c r="I695" s="2"/>
    </row>
    <row r="696" spans="9:9">
      <c r="I696" s="2"/>
    </row>
    <row r="697" spans="9:9">
      <c r="I697" s="2"/>
    </row>
    <row r="698" spans="9:9">
      <c r="I698" s="2"/>
    </row>
    <row r="699" spans="9:9">
      <c r="I699" s="2"/>
    </row>
    <row r="700" spans="9:9">
      <c r="I700" s="2"/>
    </row>
    <row r="701" spans="9:9">
      <c r="I701" s="2"/>
    </row>
    <row r="702" spans="9:9">
      <c r="I702" s="2"/>
    </row>
    <row r="703" spans="9:9">
      <c r="I703" s="2"/>
    </row>
    <row r="704" spans="9:9">
      <c r="I704" s="2"/>
    </row>
    <row r="705" spans="9:9">
      <c r="I705" s="2"/>
    </row>
    <row r="706" spans="9:9">
      <c r="I706" s="2"/>
    </row>
    <row r="707" spans="9:9">
      <c r="I707" s="2"/>
    </row>
    <row r="708" spans="9:9">
      <c r="I708" s="2"/>
    </row>
    <row r="709" spans="9:9">
      <c r="I709" s="2"/>
    </row>
    <row r="710" spans="9:9">
      <c r="I710" s="2"/>
    </row>
    <row r="711" spans="9:9">
      <c r="I711" s="2"/>
    </row>
    <row r="712" spans="9:9">
      <c r="I712" s="2"/>
    </row>
    <row r="713" spans="9:9">
      <c r="I713" s="2"/>
    </row>
    <row r="714" spans="9:9">
      <c r="I714" s="2"/>
    </row>
    <row r="715" spans="9:9">
      <c r="I715" s="2"/>
    </row>
    <row r="716" spans="9:9">
      <c r="I716" s="2"/>
    </row>
    <row r="717" spans="9:9">
      <c r="I717" s="2"/>
    </row>
    <row r="718" spans="9:9">
      <c r="I718" s="2"/>
    </row>
    <row r="719" spans="9:9">
      <c r="I719" s="2"/>
    </row>
    <row r="720" spans="9:9">
      <c r="I720" s="2"/>
    </row>
    <row r="721" spans="9:9">
      <c r="I721" s="2"/>
    </row>
    <row r="722" spans="9:9">
      <c r="I722" s="2"/>
    </row>
    <row r="723" spans="9:9">
      <c r="I723" s="2"/>
    </row>
    <row r="724" spans="9:9">
      <c r="I724" s="2"/>
    </row>
    <row r="725" spans="9:9">
      <c r="I725" s="2"/>
    </row>
    <row r="726" spans="9:9">
      <c r="I726" s="2"/>
    </row>
    <row r="727" spans="9:9">
      <c r="I727" s="2"/>
    </row>
    <row r="728" spans="9:9">
      <c r="I728" s="2"/>
    </row>
    <row r="729" spans="9:9">
      <c r="I729" s="2"/>
    </row>
    <row r="730" spans="9:9">
      <c r="I730" s="2"/>
    </row>
    <row r="731" spans="9:9">
      <c r="I731" s="2"/>
    </row>
    <row r="732" spans="9:9">
      <c r="I732" s="2"/>
    </row>
    <row r="733" spans="9:9">
      <c r="I733" s="2"/>
    </row>
    <row r="734" spans="9:9">
      <c r="I734" s="2"/>
    </row>
    <row r="735" spans="9:9">
      <c r="I735" s="2"/>
    </row>
    <row r="736" spans="9:9">
      <c r="I736" s="2"/>
    </row>
    <row r="737" spans="9:9">
      <c r="I737" s="2"/>
    </row>
    <row r="738" spans="9:9">
      <c r="I738" s="2"/>
    </row>
    <row r="739" spans="9:9">
      <c r="I739" s="2"/>
    </row>
    <row r="740" spans="9:9">
      <c r="I740" s="2"/>
    </row>
    <row r="741" spans="9:9">
      <c r="I741" s="2"/>
    </row>
    <row r="742" spans="9:9">
      <c r="I742" s="2"/>
    </row>
    <row r="743" spans="9:9">
      <c r="I743" s="2"/>
    </row>
    <row r="744" spans="9:9">
      <c r="I744" s="2"/>
    </row>
    <row r="745" spans="9:9">
      <c r="I745" s="2"/>
    </row>
    <row r="746" spans="9:9">
      <c r="I746" s="2"/>
    </row>
    <row r="747" spans="9:9">
      <c r="I747" s="2"/>
    </row>
    <row r="748" spans="9:9">
      <c r="I748" s="2"/>
    </row>
    <row r="749" spans="9:9">
      <c r="I749" s="2"/>
    </row>
    <row r="750" spans="9:9">
      <c r="I750" s="2"/>
    </row>
    <row r="751" spans="9:9">
      <c r="I751" s="2"/>
    </row>
    <row r="752" spans="9:9">
      <c r="I752" s="2"/>
    </row>
    <row r="753" spans="9:9">
      <c r="I753" s="2"/>
    </row>
    <row r="754" spans="9:9">
      <c r="I754" s="2"/>
    </row>
    <row r="755" spans="9:9">
      <c r="I755" s="2"/>
    </row>
    <row r="756" spans="9:9">
      <c r="I756" s="2"/>
    </row>
    <row r="757" spans="9:9">
      <c r="I757" s="2"/>
    </row>
    <row r="758" spans="9:9">
      <c r="I758" s="2"/>
    </row>
    <row r="759" spans="9:9">
      <c r="I759" s="2"/>
    </row>
    <row r="760" spans="9:9">
      <c r="I760" s="2"/>
    </row>
    <row r="761" spans="9:9">
      <c r="I761" s="2"/>
    </row>
    <row r="762" spans="9:9">
      <c r="I762" s="2"/>
    </row>
    <row r="763" spans="9:9">
      <c r="I763" s="2"/>
    </row>
    <row r="764" spans="9:9">
      <c r="I764" s="2"/>
    </row>
    <row r="765" spans="9:9">
      <c r="I765" s="2"/>
    </row>
    <row r="766" spans="9:9">
      <c r="I766" s="2"/>
    </row>
    <row r="767" spans="9:9">
      <c r="I767" s="2"/>
    </row>
    <row r="768" spans="9:9">
      <c r="I768" s="2"/>
    </row>
    <row r="769" spans="9:9">
      <c r="I769" s="2"/>
    </row>
    <row r="770" spans="9:9">
      <c r="I770" s="2"/>
    </row>
    <row r="771" spans="9:9">
      <c r="I771" s="2"/>
    </row>
    <row r="772" spans="9:9">
      <c r="I772" s="2"/>
    </row>
    <row r="773" spans="9:9">
      <c r="I773" s="2"/>
    </row>
    <row r="774" spans="9:9">
      <c r="I774" s="2"/>
    </row>
    <row r="775" spans="9:9">
      <c r="I775" s="2"/>
    </row>
    <row r="776" spans="9:9">
      <c r="I776" s="2"/>
    </row>
    <row r="777" spans="9:9">
      <c r="I777" s="2"/>
    </row>
    <row r="778" spans="9:9">
      <c r="I778" s="2"/>
    </row>
    <row r="779" spans="9:9">
      <c r="I779" s="2"/>
    </row>
    <row r="780" spans="9:9">
      <c r="I780" s="2"/>
    </row>
    <row r="781" spans="9:9">
      <c r="I781" s="2"/>
    </row>
    <row r="782" spans="9:9">
      <c r="I782" s="2"/>
    </row>
    <row r="783" spans="9:9">
      <c r="I783" s="2"/>
    </row>
    <row r="784" spans="9:9">
      <c r="I784" s="2"/>
    </row>
    <row r="785" spans="9:9">
      <c r="I785" s="2"/>
    </row>
    <row r="786" spans="9:9">
      <c r="I786" s="2"/>
    </row>
    <row r="787" spans="9:9">
      <c r="I787" s="2"/>
    </row>
    <row r="788" spans="9:9">
      <c r="I788" s="2"/>
    </row>
    <row r="789" spans="9:9">
      <c r="I789" s="2"/>
    </row>
    <row r="790" spans="9:9">
      <c r="I790" s="2"/>
    </row>
    <row r="791" spans="9:9">
      <c r="I791" s="2"/>
    </row>
    <row r="792" spans="9:9">
      <c r="I792" s="2"/>
    </row>
    <row r="793" spans="9:9">
      <c r="I793" s="2"/>
    </row>
    <row r="794" spans="9:9">
      <c r="I794" s="2"/>
    </row>
    <row r="795" spans="9:9">
      <c r="I795" s="2"/>
    </row>
    <row r="796" spans="9:9">
      <c r="I796" s="2"/>
    </row>
    <row r="797" spans="9:9">
      <c r="I797" s="2"/>
    </row>
    <row r="798" spans="9:9">
      <c r="I798" s="2"/>
    </row>
    <row r="799" spans="9:9">
      <c r="I799" s="2"/>
    </row>
    <row r="800" spans="9:9">
      <c r="I800" s="2"/>
    </row>
    <row r="801" spans="9:9">
      <c r="I801" s="2"/>
    </row>
    <row r="802" spans="9:9">
      <c r="I802" s="2"/>
    </row>
    <row r="803" spans="9:9">
      <c r="I803" s="2"/>
    </row>
    <row r="804" spans="9:9">
      <c r="I804" s="2"/>
    </row>
    <row r="805" spans="9:9">
      <c r="I805" s="2"/>
    </row>
    <row r="806" spans="9:9">
      <c r="I806" s="2"/>
    </row>
    <row r="807" spans="9:9">
      <c r="I807" s="2"/>
    </row>
    <row r="808" spans="9:9">
      <c r="I808" s="2"/>
    </row>
    <row r="809" spans="9:9">
      <c r="I809" s="2"/>
    </row>
    <row r="810" spans="9:9">
      <c r="I810" s="2"/>
    </row>
    <row r="811" spans="9:9">
      <c r="I811" s="2"/>
    </row>
    <row r="812" spans="9:9">
      <c r="I812" s="2"/>
    </row>
    <row r="813" spans="9:9">
      <c r="I813" s="2"/>
    </row>
    <row r="814" spans="9:9">
      <c r="I814" s="2"/>
    </row>
    <row r="815" spans="9:9">
      <c r="I815" s="2"/>
    </row>
    <row r="816" spans="9:9">
      <c r="I816" s="2"/>
    </row>
    <row r="817" spans="9:9">
      <c r="I817" s="2"/>
    </row>
    <row r="818" spans="9:9">
      <c r="I818" s="2"/>
    </row>
    <row r="819" spans="9:9">
      <c r="I819" s="2"/>
    </row>
    <row r="820" spans="9:9">
      <c r="I820" s="2"/>
    </row>
    <row r="821" spans="9:9">
      <c r="I821" s="2"/>
    </row>
    <row r="822" spans="9:9">
      <c r="I822" s="2"/>
    </row>
    <row r="823" spans="9:9">
      <c r="I823" s="2"/>
    </row>
    <row r="824" spans="9:9">
      <c r="I824" s="2"/>
    </row>
    <row r="825" spans="9:9">
      <c r="I825" s="2"/>
    </row>
    <row r="826" spans="9:9">
      <c r="I826" s="2"/>
    </row>
    <row r="827" spans="9:9">
      <c r="I827" s="2"/>
    </row>
    <row r="828" spans="9:9">
      <c r="I828" s="2"/>
    </row>
    <row r="829" spans="9:9">
      <c r="I829" s="2"/>
    </row>
    <row r="830" spans="9:9">
      <c r="I830" s="2"/>
    </row>
    <row r="831" spans="9:9">
      <c r="I831" s="2"/>
    </row>
    <row r="832" spans="9:9">
      <c r="I832" s="2"/>
    </row>
    <row r="833" spans="9:9">
      <c r="I833" s="2"/>
    </row>
    <row r="834" spans="9:9">
      <c r="I834" s="2"/>
    </row>
    <row r="835" spans="9:9">
      <c r="I835" s="2"/>
    </row>
    <row r="836" spans="9:9">
      <c r="I836" s="2"/>
    </row>
    <row r="837" spans="9:9">
      <c r="I837" s="2"/>
    </row>
    <row r="838" spans="9:9">
      <c r="I838" s="2"/>
    </row>
    <row r="839" spans="9:9">
      <c r="I839" s="2"/>
    </row>
    <row r="840" spans="9:9">
      <c r="I840" s="2"/>
    </row>
    <row r="841" spans="9:9">
      <c r="I841" s="2"/>
    </row>
    <row r="842" spans="9:9">
      <c r="I842" s="2"/>
    </row>
    <row r="843" spans="9:9">
      <c r="I843" s="2"/>
    </row>
    <row r="844" spans="9:9">
      <c r="I844" s="2"/>
    </row>
    <row r="845" spans="9:9">
      <c r="I845" s="2"/>
    </row>
    <row r="846" spans="9:9">
      <c r="I846" s="2"/>
    </row>
    <row r="847" spans="9:9">
      <c r="I847" s="2"/>
    </row>
    <row r="848" spans="9:9">
      <c r="I848" s="2"/>
    </row>
    <row r="849" spans="9:9">
      <c r="I849" s="2"/>
    </row>
    <row r="850" spans="9:9">
      <c r="I850" s="2"/>
    </row>
    <row r="851" spans="9:9">
      <c r="I851" s="2"/>
    </row>
    <row r="852" spans="9:9">
      <c r="I852" s="2"/>
    </row>
    <row r="853" spans="9:9">
      <c r="I853" s="2"/>
    </row>
    <row r="854" spans="9:9">
      <c r="I854" s="2"/>
    </row>
    <row r="855" spans="9:9">
      <c r="I855" s="2"/>
    </row>
    <row r="856" spans="9:9">
      <c r="I856" s="2"/>
    </row>
    <row r="857" spans="9:9">
      <c r="I857" s="2"/>
    </row>
    <row r="858" spans="9:9">
      <c r="I858" s="2"/>
    </row>
    <row r="859" spans="9:9">
      <c r="I859" s="2"/>
    </row>
    <row r="860" spans="9:9">
      <c r="I860" s="2"/>
    </row>
    <row r="861" spans="9:9">
      <c r="I861" s="2"/>
    </row>
    <row r="862" spans="9:9">
      <c r="I862" s="2"/>
    </row>
    <row r="863" spans="9:9">
      <c r="I863" s="2"/>
    </row>
    <row r="864" spans="9:9">
      <c r="I864" s="2"/>
    </row>
    <row r="865" spans="9:9">
      <c r="I865" s="2"/>
    </row>
    <row r="866" spans="9:9">
      <c r="I866" s="2"/>
    </row>
    <row r="867" spans="9:9">
      <c r="I867" s="2"/>
    </row>
    <row r="868" spans="9:9">
      <c r="I868" s="2"/>
    </row>
    <row r="869" spans="9:9">
      <c r="I869" s="2"/>
    </row>
    <row r="870" spans="9:9">
      <c r="I870" s="2"/>
    </row>
    <row r="871" spans="9:9">
      <c r="I871" s="2"/>
    </row>
    <row r="872" spans="9:9">
      <c r="I872" s="2"/>
    </row>
    <row r="873" spans="9:9">
      <c r="I873" s="2"/>
    </row>
    <row r="874" spans="9:9">
      <c r="I874" s="2"/>
    </row>
    <row r="875" spans="9:9">
      <c r="I875" s="2"/>
    </row>
    <row r="876" spans="9:9">
      <c r="I876" s="2"/>
    </row>
    <row r="877" spans="9:9">
      <c r="I877" s="2"/>
    </row>
    <row r="878" spans="9:9">
      <c r="I878" s="2"/>
    </row>
    <row r="879" spans="9:9">
      <c r="I879" s="2"/>
    </row>
    <row r="880" spans="9:9">
      <c r="I880" s="2"/>
    </row>
    <row r="881" spans="9:9">
      <c r="I881" s="2"/>
    </row>
    <row r="882" spans="9:9">
      <c r="I882" s="2"/>
    </row>
    <row r="883" spans="9:9">
      <c r="I883" s="2"/>
    </row>
    <row r="884" spans="9:9">
      <c r="I884" s="2"/>
    </row>
    <row r="885" spans="9:9">
      <c r="I885" s="2"/>
    </row>
    <row r="886" spans="9:9">
      <c r="I886" s="2"/>
    </row>
    <row r="887" spans="9:9">
      <c r="I887" s="2"/>
    </row>
    <row r="888" spans="9:9">
      <c r="I888" s="2"/>
    </row>
    <row r="889" spans="9:9">
      <c r="I889" s="2"/>
    </row>
    <row r="890" spans="9:9">
      <c r="I890" s="2"/>
    </row>
    <row r="891" spans="9:9">
      <c r="I891" s="2"/>
    </row>
    <row r="892" spans="9:9">
      <c r="I892" s="2"/>
    </row>
    <row r="893" spans="9:9">
      <c r="I893" s="2"/>
    </row>
    <row r="894" spans="9:9">
      <c r="I894" s="2"/>
    </row>
    <row r="895" spans="9:9">
      <c r="I895" s="2"/>
    </row>
    <row r="896" spans="9:9">
      <c r="I896" s="2"/>
    </row>
    <row r="897" spans="9:9">
      <c r="I897" s="2"/>
    </row>
    <row r="898" spans="9:9">
      <c r="I898" s="2"/>
    </row>
    <row r="899" spans="9:9">
      <c r="I899" s="2"/>
    </row>
    <row r="900" spans="9:9">
      <c r="I900" s="2"/>
    </row>
    <row r="901" spans="9:9">
      <c r="I901" s="2"/>
    </row>
    <row r="902" spans="9:9">
      <c r="I902" s="2"/>
    </row>
    <row r="903" spans="9:9">
      <c r="I903" s="2"/>
    </row>
    <row r="904" spans="9:9">
      <c r="I904" s="2"/>
    </row>
    <row r="905" spans="9:9">
      <c r="I905" s="2"/>
    </row>
    <row r="906" spans="9:9">
      <c r="I906" s="2"/>
    </row>
    <row r="907" spans="9:9">
      <c r="I907" s="2"/>
    </row>
    <row r="908" spans="9:9">
      <c r="I908" s="2"/>
    </row>
    <row r="909" spans="9:9">
      <c r="I909" s="2"/>
    </row>
    <row r="910" spans="9:9">
      <c r="I910" s="2"/>
    </row>
    <row r="911" spans="9:9">
      <c r="I911" s="2"/>
    </row>
    <row r="912" spans="9:9">
      <c r="I912" s="2"/>
    </row>
    <row r="913" spans="9:9">
      <c r="I913" s="2"/>
    </row>
    <row r="914" spans="9:9">
      <c r="I914" s="2"/>
    </row>
    <row r="915" spans="9:9">
      <c r="I915" s="2"/>
    </row>
    <row r="916" spans="9:9">
      <c r="I916" s="2"/>
    </row>
    <row r="917" spans="9:9">
      <c r="I917" s="2"/>
    </row>
    <row r="918" spans="9:9">
      <c r="I918" s="2"/>
    </row>
    <row r="919" spans="9:9">
      <c r="I919" s="2"/>
    </row>
    <row r="920" spans="9:9">
      <c r="I920" s="2"/>
    </row>
    <row r="921" spans="9:9">
      <c r="I921" s="2"/>
    </row>
    <row r="922" spans="9:9">
      <c r="I922" s="2"/>
    </row>
    <row r="923" spans="9:9">
      <c r="I923" s="2"/>
    </row>
    <row r="924" spans="9:9">
      <c r="I924" s="2"/>
    </row>
    <row r="925" spans="9:9">
      <c r="I925" s="2"/>
    </row>
    <row r="926" spans="9:9">
      <c r="I926" s="2"/>
    </row>
    <row r="927" spans="9:9">
      <c r="I927" s="2"/>
    </row>
    <row r="928" spans="9:9">
      <c r="I928" s="2"/>
    </row>
    <row r="929" spans="9:9">
      <c r="I929" s="2"/>
    </row>
    <row r="930" spans="9:9">
      <c r="I930" s="2"/>
    </row>
    <row r="931" spans="9:9">
      <c r="I931" s="2"/>
    </row>
    <row r="932" spans="9:9">
      <c r="I932" s="2"/>
    </row>
    <row r="933" spans="9:9">
      <c r="I933" s="2"/>
    </row>
    <row r="934" spans="9:9">
      <c r="I934" s="2"/>
    </row>
    <row r="935" spans="9:9">
      <c r="I935" s="2"/>
    </row>
    <row r="936" spans="9:9">
      <c r="I936" s="2"/>
    </row>
    <row r="937" spans="9:9">
      <c r="I937" s="2"/>
    </row>
    <row r="938" spans="9:9">
      <c r="I938" s="2"/>
    </row>
    <row r="939" spans="9:9">
      <c r="I939" s="2"/>
    </row>
    <row r="940" spans="9:9">
      <c r="I940" s="2"/>
    </row>
    <row r="941" spans="9:9">
      <c r="I941" s="2"/>
    </row>
    <row r="942" spans="9:9">
      <c r="I942" s="2"/>
    </row>
    <row r="943" spans="9:9">
      <c r="I943" s="2"/>
    </row>
    <row r="944" spans="9:9">
      <c r="I944" s="2"/>
    </row>
    <row r="945" spans="9:9">
      <c r="I945" s="2"/>
    </row>
    <row r="946" spans="9:9">
      <c r="I946" s="2"/>
    </row>
    <row r="947" spans="9:9">
      <c r="I947" s="2"/>
    </row>
    <row r="948" spans="9:9">
      <c r="I948" s="2"/>
    </row>
    <row r="949" spans="9:9">
      <c r="I949" s="2"/>
    </row>
    <row r="950" spans="9:9">
      <c r="I950" s="2"/>
    </row>
    <row r="951" spans="9:9">
      <c r="I951" s="2"/>
    </row>
    <row r="952" spans="9:9">
      <c r="I952" s="2"/>
    </row>
    <row r="953" spans="9:9">
      <c r="I953" s="2"/>
    </row>
    <row r="954" spans="9:9">
      <c r="I954" s="2"/>
    </row>
    <row r="955" spans="9:9">
      <c r="I955" s="2"/>
    </row>
    <row r="956" spans="9:9">
      <c r="I956" s="2"/>
    </row>
    <row r="957" spans="9:9">
      <c r="I957" s="2"/>
    </row>
    <row r="958" spans="9:9">
      <c r="I958" s="2"/>
    </row>
    <row r="959" spans="9:9">
      <c r="I959" s="2"/>
    </row>
    <row r="960" spans="9:9">
      <c r="I960" s="2"/>
    </row>
    <row r="961" spans="9:9">
      <c r="I961" s="2"/>
    </row>
    <row r="962" spans="9:9">
      <c r="I962" s="2"/>
    </row>
    <row r="963" spans="9:9">
      <c r="I963" s="2"/>
    </row>
    <row r="964" spans="9:9">
      <c r="I964" s="2"/>
    </row>
    <row r="965" spans="9:9">
      <c r="I965" s="2"/>
    </row>
    <row r="966" spans="9:9">
      <c r="I966" s="2"/>
    </row>
    <row r="967" spans="9:9">
      <c r="I967" s="2"/>
    </row>
    <row r="968" spans="9:9">
      <c r="I968" s="2"/>
    </row>
    <row r="969" spans="9:9">
      <c r="I969" s="2"/>
    </row>
    <row r="970" spans="9:9">
      <c r="I970" s="2"/>
    </row>
    <row r="971" spans="9:9">
      <c r="I971" s="2"/>
    </row>
    <row r="972" spans="9:9">
      <c r="I972" s="2"/>
    </row>
    <row r="973" spans="9:9">
      <c r="I973" s="2"/>
    </row>
    <row r="974" spans="9:9">
      <c r="I974" s="2"/>
    </row>
    <row r="975" spans="9:9">
      <c r="I975" s="2"/>
    </row>
    <row r="976" spans="9:9">
      <c r="I976" s="2"/>
    </row>
    <row r="977" spans="9:9">
      <c r="I977" s="2"/>
    </row>
    <row r="978" spans="9:9">
      <c r="I978" s="2"/>
    </row>
    <row r="979" spans="9:9">
      <c r="I979" s="2"/>
    </row>
    <row r="980" spans="9:9">
      <c r="I980" s="2"/>
    </row>
    <row r="981" spans="9:9">
      <c r="I981" s="2"/>
    </row>
    <row r="982" spans="9:9">
      <c r="I982" s="2"/>
    </row>
    <row r="983" spans="9:9">
      <c r="I983" s="2"/>
    </row>
    <row r="984" spans="9:9">
      <c r="I984" s="2"/>
    </row>
    <row r="985" spans="9:9">
      <c r="I985" s="2"/>
    </row>
    <row r="986" spans="9:9">
      <c r="I986" s="2"/>
    </row>
    <row r="987" spans="9:9">
      <c r="I987" s="2"/>
    </row>
    <row r="988" spans="9:9">
      <c r="I988" s="2"/>
    </row>
    <row r="989" spans="9:9">
      <c r="I989" s="2"/>
    </row>
    <row r="990" spans="9:9">
      <c r="I990" s="2"/>
    </row>
    <row r="991" spans="9:9">
      <c r="I991" s="2"/>
    </row>
    <row r="992" spans="9:9">
      <c r="I992" s="2"/>
    </row>
    <row r="993" spans="9:9">
      <c r="I993" s="2"/>
    </row>
    <row r="994" spans="9:9">
      <c r="I994" s="2"/>
    </row>
    <row r="995" spans="9:9">
      <c r="I995" s="2"/>
    </row>
    <row r="996" spans="9:9">
      <c r="I996" s="2"/>
    </row>
    <row r="997" spans="9:9">
      <c r="I997" s="2"/>
    </row>
    <row r="998" spans="9:9">
      <c r="I998" s="2"/>
    </row>
    <row r="999" spans="9:9">
      <c r="I999" s="2"/>
    </row>
    <row r="1000" spans="9:9">
      <c r="I1000" s="2"/>
    </row>
    <row r="1001" spans="9:9">
      <c r="I1001" s="2"/>
    </row>
    <row r="1002" spans="9:9">
      <c r="I1002" s="2"/>
    </row>
    <row r="1003" spans="9:9">
      <c r="I1003" s="2"/>
    </row>
    <row r="1004" spans="9:9">
      <c r="I1004" s="2"/>
    </row>
    <row r="1005" spans="9:9">
      <c r="I1005" s="2"/>
    </row>
    <row r="1006" spans="9:9">
      <c r="I1006" s="2"/>
    </row>
    <row r="1007" spans="9:9">
      <c r="I1007" s="2"/>
    </row>
    <row r="1008" spans="9:9">
      <c r="I1008" s="2"/>
    </row>
    <row r="1009" spans="9:9">
      <c r="I1009" s="2"/>
    </row>
    <row r="1010" spans="9:9">
      <c r="I1010" s="2"/>
    </row>
    <row r="1011" spans="9:9">
      <c r="I1011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23"/>
  <sheetViews>
    <sheetView workbookViewId="0"/>
  </sheetViews>
  <sheetFormatPr defaultColWidth="12.6640625" defaultRowHeight="15.75" customHeight="1"/>
  <cols>
    <col min="1" max="1" width="18.77734375" customWidth="1"/>
  </cols>
  <sheetData>
    <row r="1" spans="1:29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spans="1:29">
      <c r="A2" s="316" t="s">
        <v>230</v>
      </c>
      <c r="B2" s="315"/>
      <c r="C2" s="315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10"/>
      <c r="O2" s="99"/>
      <c r="P2" s="316" t="s">
        <v>231</v>
      </c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15"/>
      <c r="AC2" s="10"/>
    </row>
    <row r="3" spans="1:29">
      <c r="A3" s="100" t="s">
        <v>232</v>
      </c>
      <c r="B3" s="101">
        <v>0.74629999999999996</v>
      </c>
      <c r="C3" s="100" t="s">
        <v>233</v>
      </c>
      <c r="D3" s="101">
        <v>0.67949999999999999</v>
      </c>
      <c r="E3" s="100" t="s">
        <v>234</v>
      </c>
      <c r="F3" s="102">
        <v>6.0839999999999996</v>
      </c>
      <c r="G3" s="100" t="s">
        <v>235</v>
      </c>
      <c r="H3" s="102">
        <v>8.6489999999999991</v>
      </c>
      <c r="I3" s="103"/>
      <c r="J3" s="103"/>
      <c r="K3" s="103"/>
      <c r="L3" s="103"/>
      <c r="M3" s="103"/>
      <c r="N3" s="10"/>
      <c r="O3" s="100"/>
      <c r="P3" s="100" t="s">
        <v>232</v>
      </c>
      <c r="Q3" s="101">
        <v>0.74629999999999996</v>
      </c>
      <c r="R3" s="100" t="s">
        <v>233</v>
      </c>
      <c r="S3" s="101">
        <v>0.73109999999999997</v>
      </c>
      <c r="T3" s="100" t="s">
        <v>234</v>
      </c>
      <c r="U3" s="102">
        <v>6.0839999999999996</v>
      </c>
      <c r="V3" s="100" t="s">
        <v>235</v>
      </c>
      <c r="W3" s="102">
        <v>7.2320000000000002</v>
      </c>
      <c r="X3" s="103"/>
      <c r="Y3" s="103"/>
      <c r="Z3" s="103"/>
      <c r="AA3" s="103"/>
      <c r="AB3" s="103"/>
      <c r="AC3" s="10"/>
    </row>
    <row r="4" spans="1:29">
      <c r="A4" s="104" t="s">
        <v>236</v>
      </c>
      <c r="B4" s="104" t="s">
        <v>237</v>
      </c>
      <c r="C4" s="104" t="s">
        <v>238</v>
      </c>
      <c r="D4" s="104" t="s">
        <v>239</v>
      </c>
      <c r="E4" s="104" t="s">
        <v>240</v>
      </c>
      <c r="F4" s="104" t="s">
        <v>241</v>
      </c>
      <c r="G4" s="104" t="s">
        <v>242</v>
      </c>
      <c r="H4" s="104" t="s">
        <v>243</v>
      </c>
      <c r="I4" s="105"/>
      <c r="J4" s="104" t="s">
        <v>4</v>
      </c>
      <c r="K4" s="104" t="s">
        <v>5</v>
      </c>
      <c r="L4" s="104" t="s">
        <v>6</v>
      </c>
      <c r="M4" s="104" t="s">
        <v>10</v>
      </c>
      <c r="N4" s="104" t="s">
        <v>11</v>
      </c>
      <c r="O4" s="104"/>
      <c r="P4" s="104" t="s">
        <v>236</v>
      </c>
      <c r="Q4" s="104" t="s">
        <v>237</v>
      </c>
      <c r="R4" s="104" t="s">
        <v>238</v>
      </c>
      <c r="S4" s="104" t="s">
        <v>239</v>
      </c>
      <c r="T4" s="104" t="s">
        <v>240</v>
      </c>
      <c r="U4" s="104" t="s">
        <v>241</v>
      </c>
      <c r="V4" s="104" t="s">
        <v>242</v>
      </c>
      <c r="W4" s="104" t="s">
        <v>243</v>
      </c>
      <c r="X4" s="105"/>
      <c r="Y4" s="104" t="s">
        <v>4</v>
      </c>
      <c r="Z4" s="104" t="s">
        <v>5</v>
      </c>
      <c r="AA4" s="104" t="s">
        <v>6</v>
      </c>
      <c r="AB4" s="104" t="s">
        <v>10</v>
      </c>
      <c r="AC4" s="104" t="s">
        <v>11</v>
      </c>
    </row>
    <row r="5" spans="1:29">
      <c r="A5" s="104" t="s">
        <v>244</v>
      </c>
      <c r="B5" s="106">
        <v>68.14</v>
      </c>
      <c r="C5" s="107">
        <v>67.92</v>
      </c>
      <c r="D5" s="108">
        <v>68.11</v>
      </c>
      <c r="E5" s="109">
        <v>66.790000000000006</v>
      </c>
      <c r="F5" s="110">
        <v>68.989999999999995</v>
      </c>
      <c r="G5" s="111">
        <v>67.989999999999995</v>
      </c>
      <c r="H5" s="112">
        <v>8.1769999999999996</v>
      </c>
      <c r="I5" s="105"/>
      <c r="J5" s="113">
        <v>44.11</v>
      </c>
      <c r="K5" s="114">
        <v>72.849999999999994</v>
      </c>
      <c r="L5" s="115">
        <v>81.16</v>
      </c>
      <c r="M5" s="116">
        <v>77.86</v>
      </c>
      <c r="N5" s="117">
        <v>68.95</v>
      </c>
      <c r="O5" s="104">
        <f t="shared" ref="O5:O10" si="0">AVERAGE(J5:N5)</f>
        <v>68.986000000000004</v>
      </c>
      <c r="P5" s="104" t="s">
        <v>244</v>
      </c>
      <c r="Q5" s="118">
        <v>73.47</v>
      </c>
      <c r="R5" s="119">
        <v>73.290000000000006</v>
      </c>
      <c r="S5" s="120">
        <v>73.36</v>
      </c>
      <c r="T5" s="121">
        <v>73.31</v>
      </c>
      <c r="U5" s="122">
        <v>73.510000000000005</v>
      </c>
      <c r="V5" s="123">
        <v>73.39</v>
      </c>
      <c r="W5" s="124">
        <v>7.2270000000000003</v>
      </c>
      <c r="X5" s="105"/>
      <c r="Y5" s="113">
        <v>50.17</v>
      </c>
      <c r="Z5" s="125">
        <v>80.010000000000005</v>
      </c>
      <c r="AA5" s="126">
        <v>82.35</v>
      </c>
      <c r="AB5" s="127">
        <v>77.75</v>
      </c>
      <c r="AC5" s="128">
        <v>77.260000000000005</v>
      </c>
    </row>
    <row r="6" spans="1:29">
      <c r="A6" s="104" t="s">
        <v>245</v>
      </c>
      <c r="B6" s="129">
        <v>68.47</v>
      </c>
      <c r="C6" s="130">
        <v>68.53</v>
      </c>
      <c r="D6" s="131">
        <v>67.7</v>
      </c>
      <c r="E6" s="132">
        <v>67.53</v>
      </c>
      <c r="F6" s="133">
        <v>67.97</v>
      </c>
      <c r="G6" s="134">
        <v>68.040000000000006</v>
      </c>
      <c r="H6" s="135">
        <v>8.1839999999999993</v>
      </c>
      <c r="I6" s="105"/>
      <c r="J6" s="113">
        <v>43.09</v>
      </c>
      <c r="K6" s="136">
        <v>71.680000000000007</v>
      </c>
      <c r="L6" s="137">
        <v>81.99</v>
      </c>
      <c r="M6" s="138">
        <v>76.930000000000007</v>
      </c>
      <c r="N6" s="117">
        <v>68.95</v>
      </c>
      <c r="O6" s="104">
        <f t="shared" si="0"/>
        <v>68.527999999999992</v>
      </c>
      <c r="P6" s="104" t="s">
        <v>245</v>
      </c>
      <c r="Q6" s="139">
        <v>73.37</v>
      </c>
      <c r="R6" s="140">
        <v>73.69</v>
      </c>
      <c r="S6" s="141">
        <v>73.599999999999994</v>
      </c>
      <c r="T6" s="142">
        <v>73.14</v>
      </c>
      <c r="U6" s="143">
        <v>73.209999999999994</v>
      </c>
      <c r="V6" s="144">
        <v>73.400000000000006</v>
      </c>
      <c r="W6" s="145">
        <v>7.2249999999999996</v>
      </c>
      <c r="X6" s="105"/>
      <c r="Y6" s="113">
        <v>49.83</v>
      </c>
      <c r="Z6" s="146">
        <v>80.599999999999994</v>
      </c>
      <c r="AA6" s="126">
        <v>82.35</v>
      </c>
      <c r="AB6" s="147">
        <v>77.69</v>
      </c>
      <c r="AC6" s="148">
        <v>77.98</v>
      </c>
    </row>
    <row r="7" spans="1:29">
      <c r="A7" s="104" t="s">
        <v>246</v>
      </c>
      <c r="B7" s="110">
        <v>68.989999999999995</v>
      </c>
      <c r="C7" s="149">
        <v>68.2</v>
      </c>
      <c r="D7" s="150">
        <v>69.61</v>
      </c>
      <c r="E7" s="151">
        <v>67.459999999999994</v>
      </c>
      <c r="F7" s="152">
        <v>68.52</v>
      </c>
      <c r="G7" s="153">
        <v>68.55</v>
      </c>
      <c r="H7" s="154">
        <v>8.1780000000000008</v>
      </c>
      <c r="I7" s="105"/>
      <c r="J7" s="113">
        <v>44.54</v>
      </c>
      <c r="K7" s="155">
        <v>72.64</v>
      </c>
      <c r="L7" s="115">
        <v>81.13</v>
      </c>
      <c r="M7" s="156">
        <v>77.150000000000006</v>
      </c>
      <c r="N7" s="157">
        <v>72.56</v>
      </c>
      <c r="O7" s="104">
        <f t="shared" si="0"/>
        <v>69.604000000000013</v>
      </c>
      <c r="P7" s="104" t="s">
        <v>246</v>
      </c>
      <c r="Q7" s="158">
        <v>73.540000000000006</v>
      </c>
      <c r="R7" s="159">
        <v>73.430000000000007</v>
      </c>
      <c r="S7" s="160">
        <v>73.8</v>
      </c>
      <c r="T7" s="150">
        <v>73.87</v>
      </c>
      <c r="U7" s="161">
        <v>72.84</v>
      </c>
      <c r="V7" s="162">
        <v>73.5</v>
      </c>
      <c r="W7" s="163">
        <v>7.226</v>
      </c>
      <c r="X7" s="105"/>
      <c r="Y7" s="113">
        <v>49.83</v>
      </c>
      <c r="Z7" s="164">
        <v>80.510000000000005</v>
      </c>
      <c r="AA7" s="165">
        <v>82.84</v>
      </c>
      <c r="AB7" s="166">
        <v>78.180000000000007</v>
      </c>
      <c r="AC7" s="148">
        <v>77.98</v>
      </c>
    </row>
    <row r="8" spans="1:29">
      <c r="A8" s="104" t="s">
        <v>247</v>
      </c>
      <c r="B8" s="167">
        <v>67.849999999999994</v>
      </c>
      <c r="C8" s="168">
        <v>67.739999999999995</v>
      </c>
      <c r="D8" s="169">
        <v>67.92</v>
      </c>
      <c r="E8" s="170">
        <v>66.709999999999994</v>
      </c>
      <c r="F8" s="171">
        <v>68.13</v>
      </c>
      <c r="G8" s="172">
        <v>67.67</v>
      </c>
      <c r="H8" s="173">
        <v>8.202</v>
      </c>
      <c r="I8" s="105"/>
      <c r="J8" s="113">
        <v>44.62</v>
      </c>
      <c r="K8" s="174">
        <v>73.48</v>
      </c>
      <c r="L8" s="175">
        <v>80.28</v>
      </c>
      <c r="M8" s="176">
        <v>77.64</v>
      </c>
      <c r="N8" s="177">
        <v>64.62</v>
      </c>
      <c r="O8" s="104">
        <f t="shared" si="0"/>
        <v>68.128</v>
      </c>
      <c r="P8" s="104" t="s">
        <v>247</v>
      </c>
      <c r="Q8" s="178">
        <v>73.510000000000005</v>
      </c>
      <c r="R8" s="179">
        <v>73.569999999999993</v>
      </c>
      <c r="S8" s="180">
        <v>73.61</v>
      </c>
      <c r="T8" s="181">
        <v>73.150000000000006</v>
      </c>
      <c r="U8" s="182">
        <v>72.650000000000006</v>
      </c>
      <c r="V8" s="183">
        <v>73.3</v>
      </c>
      <c r="W8" s="107">
        <v>7.2290000000000001</v>
      </c>
      <c r="X8" s="105"/>
      <c r="Y8" s="113">
        <v>50.17</v>
      </c>
      <c r="Z8" s="164">
        <v>80.510000000000005</v>
      </c>
      <c r="AA8" s="184">
        <v>82.75</v>
      </c>
      <c r="AB8" s="185">
        <v>77.37</v>
      </c>
      <c r="AC8" s="128">
        <v>77.260000000000005</v>
      </c>
    </row>
    <row r="9" spans="1:29">
      <c r="A9" s="104" t="s">
        <v>248</v>
      </c>
      <c r="B9" s="186">
        <v>68.86</v>
      </c>
      <c r="C9" s="187">
        <v>68.459999999999994</v>
      </c>
      <c r="D9" s="188">
        <v>68.42</v>
      </c>
      <c r="E9" s="182">
        <v>66.64</v>
      </c>
      <c r="F9" s="189">
        <v>68.2</v>
      </c>
      <c r="G9" s="190">
        <v>68.12</v>
      </c>
      <c r="H9" s="129">
        <v>8.2040000000000006</v>
      </c>
      <c r="I9" s="105"/>
      <c r="J9" s="113">
        <v>43.86</v>
      </c>
      <c r="K9" s="191">
        <v>72.47</v>
      </c>
      <c r="L9" s="192">
        <v>81.22</v>
      </c>
      <c r="M9" s="193">
        <v>77.42</v>
      </c>
      <c r="N9" s="194">
        <v>69.31</v>
      </c>
      <c r="O9" s="104">
        <f t="shared" si="0"/>
        <v>68.856000000000009</v>
      </c>
      <c r="P9" s="104" t="s">
        <v>248</v>
      </c>
      <c r="Q9" s="195">
        <v>73.5</v>
      </c>
      <c r="R9" s="196" t="s">
        <v>200</v>
      </c>
      <c r="S9" s="196" t="s">
        <v>200</v>
      </c>
      <c r="T9" s="196" t="s">
        <v>200</v>
      </c>
      <c r="U9" s="196" t="s">
        <v>200</v>
      </c>
      <c r="V9" s="197">
        <v>73.5</v>
      </c>
      <c r="W9" s="198">
        <v>7.23</v>
      </c>
      <c r="X9" s="105"/>
      <c r="Y9" s="113">
        <v>50.26</v>
      </c>
      <c r="Z9" s="199">
        <v>80.56</v>
      </c>
      <c r="AA9" s="200">
        <v>82.45</v>
      </c>
      <c r="AB9" s="185">
        <v>77.37</v>
      </c>
      <c r="AC9" s="138">
        <v>76.900000000000006</v>
      </c>
    </row>
    <row r="10" spans="1:29">
      <c r="A10" s="104" t="s">
        <v>249</v>
      </c>
      <c r="B10" s="201">
        <v>67.989999999999995</v>
      </c>
      <c r="C10" s="202">
        <v>67.41</v>
      </c>
      <c r="D10" s="203">
        <v>69.319999999999993</v>
      </c>
      <c r="E10" s="204">
        <v>66.989999999999995</v>
      </c>
      <c r="F10" s="205">
        <v>68.48</v>
      </c>
      <c r="G10" s="134">
        <v>68.040000000000006</v>
      </c>
      <c r="H10" s="206">
        <v>8.2110000000000003</v>
      </c>
      <c r="I10" s="105"/>
      <c r="J10" s="113">
        <v>44.2</v>
      </c>
      <c r="K10" s="207">
        <v>72.180000000000007</v>
      </c>
      <c r="L10" s="208">
        <v>80.7</v>
      </c>
      <c r="M10" s="147">
        <v>77.69</v>
      </c>
      <c r="N10" s="209">
        <v>71.84</v>
      </c>
      <c r="O10" s="104">
        <f t="shared" si="0"/>
        <v>69.322000000000003</v>
      </c>
      <c r="P10" s="104" t="s">
        <v>249</v>
      </c>
      <c r="Q10" s="196" t="s">
        <v>200</v>
      </c>
      <c r="R10" s="196" t="s">
        <v>200</v>
      </c>
      <c r="S10" s="196" t="s">
        <v>200</v>
      </c>
      <c r="T10" s="196" t="s">
        <v>200</v>
      </c>
      <c r="U10" s="196" t="s">
        <v>200</v>
      </c>
      <c r="V10" s="210" t="s">
        <v>200</v>
      </c>
      <c r="W10" s="210" t="s">
        <v>200</v>
      </c>
      <c r="X10" s="105"/>
      <c r="Y10" s="196" t="s">
        <v>200</v>
      </c>
      <c r="Z10" s="196" t="s">
        <v>200</v>
      </c>
      <c r="AA10" s="196" t="s">
        <v>200</v>
      </c>
      <c r="AB10" s="196" t="s">
        <v>200</v>
      </c>
      <c r="AC10" s="196" t="s">
        <v>200</v>
      </c>
    </row>
    <row r="11" spans="1:29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spans="1:29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spans="1:29">
      <c r="A13" s="316" t="s">
        <v>250</v>
      </c>
      <c r="B13" s="315"/>
      <c r="C13" s="315"/>
      <c r="D13" s="315"/>
      <c r="E13" s="315"/>
      <c r="F13" s="315"/>
      <c r="G13" s="315"/>
      <c r="H13" s="315"/>
      <c r="I13" s="315"/>
      <c r="J13" s="315"/>
      <c r="K13" s="315"/>
      <c r="L13" s="315"/>
      <c r="M13" s="315"/>
      <c r="N13" s="10"/>
      <c r="O13" s="99"/>
      <c r="P13" s="316" t="s">
        <v>251</v>
      </c>
      <c r="Q13" s="315"/>
      <c r="R13" s="315"/>
      <c r="S13" s="315"/>
      <c r="T13" s="315"/>
      <c r="U13" s="315"/>
      <c r="V13" s="315"/>
      <c r="W13" s="315"/>
      <c r="X13" s="315"/>
      <c r="Y13" s="315"/>
      <c r="Z13" s="315"/>
      <c r="AA13" s="315"/>
      <c r="AB13" s="315"/>
      <c r="AC13" s="10"/>
    </row>
    <row r="14" spans="1:29">
      <c r="A14" s="100" t="s">
        <v>232</v>
      </c>
      <c r="B14" s="101">
        <v>0.72919999999999996</v>
      </c>
      <c r="C14" s="100" t="s">
        <v>233</v>
      </c>
      <c r="D14" s="101">
        <v>0.65129999999999999</v>
      </c>
      <c r="E14" s="100" t="s">
        <v>234</v>
      </c>
      <c r="F14" s="102">
        <v>5.5220000000000002</v>
      </c>
      <c r="G14" s="100" t="s">
        <v>235</v>
      </c>
      <c r="H14" s="102">
        <v>8.0760000000000005</v>
      </c>
      <c r="I14" s="103"/>
      <c r="J14" s="103"/>
      <c r="K14" s="103"/>
      <c r="L14" s="103"/>
      <c r="M14" s="103"/>
      <c r="N14" s="10"/>
      <c r="O14" s="100"/>
      <c r="P14" s="100" t="s">
        <v>232</v>
      </c>
      <c r="Q14" s="101">
        <v>0.72219999999999995</v>
      </c>
      <c r="R14" s="100" t="s">
        <v>233</v>
      </c>
      <c r="S14" s="101">
        <v>0.64200000000000002</v>
      </c>
      <c r="T14" s="100" t="s">
        <v>234</v>
      </c>
      <c r="U14" s="102">
        <v>5.4420000000000002</v>
      </c>
      <c r="V14" s="100" t="s">
        <v>235</v>
      </c>
      <c r="W14" s="102">
        <v>8.1509999999999998</v>
      </c>
      <c r="X14" s="103"/>
      <c r="Y14" s="103"/>
      <c r="Z14" s="103"/>
      <c r="AA14" s="103"/>
      <c r="AB14" s="103"/>
      <c r="AC14" s="10"/>
    </row>
    <row r="15" spans="1:29">
      <c r="A15" s="104" t="s">
        <v>236</v>
      </c>
      <c r="B15" s="104" t="s">
        <v>237</v>
      </c>
      <c r="C15" s="104" t="s">
        <v>238</v>
      </c>
      <c r="D15" s="104" t="s">
        <v>239</v>
      </c>
      <c r="E15" s="104" t="s">
        <v>240</v>
      </c>
      <c r="F15" s="104" t="s">
        <v>241</v>
      </c>
      <c r="G15" s="104" t="s">
        <v>242</v>
      </c>
      <c r="H15" s="104" t="s">
        <v>243</v>
      </c>
      <c r="I15" s="105"/>
      <c r="J15" s="104" t="s">
        <v>4</v>
      </c>
      <c r="K15" s="104" t="s">
        <v>5</v>
      </c>
      <c r="L15" s="104" t="s">
        <v>6</v>
      </c>
      <c r="M15" s="104" t="s">
        <v>10</v>
      </c>
      <c r="N15" s="104" t="s">
        <v>11</v>
      </c>
      <c r="O15" s="104"/>
      <c r="P15" s="104" t="s">
        <v>236</v>
      </c>
      <c r="Q15" s="104" t="s">
        <v>237</v>
      </c>
      <c r="R15" s="104" t="s">
        <v>238</v>
      </c>
      <c r="S15" s="104" t="s">
        <v>239</v>
      </c>
      <c r="T15" s="104" t="s">
        <v>240</v>
      </c>
      <c r="U15" s="104" t="s">
        <v>241</v>
      </c>
      <c r="V15" s="104" t="s">
        <v>242</v>
      </c>
      <c r="W15" s="104" t="s">
        <v>243</v>
      </c>
      <c r="X15" s="105"/>
      <c r="Y15" s="104" t="s">
        <v>4</v>
      </c>
      <c r="Z15" s="104" t="s">
        <v>5</v>
      </c>
      <c r="AA15" s="104" t="s">
        <v>6</v>
      </c>
      <c r="AB15" s="104" t="s">
        <v>10</v>
      </c>
      <c r="AC15" s="104" t="s">
        <v>11</v>
      </c>
    </row>
    <row r="16" spans="1:29">
      <c r="A16" s="104" t="s">
        <v>244</v>
      </c>
      <c r="B16" s="211">
        <v>64.23</v>
      </c>
      <c r="C16" s="212">
        <v>65.64</v>
      </c>
      <c r="D16" s="213">
        <v>64.23</v>
      </c>
      <c r="E16" s="214">
        <v>65.06</v>
      </c>
      <c r="F16" s="215">
        <v>64.69</v>
      </c>
      <c r="G16" s="216">
        <v>64.77</v>
      </c>
      <c r="H16" s="217">
        <v>7.8730000000000002</v>
      </c>
      <c r="I16" s="105"/>
      <c r="J16" s="113">
        <v>40.36</v>
      </c>
      <c r="K16" s="218">
        <v>74.33</v>
      </c>
      <c r="L16" s="219">
        <v>73.430000000000007</v>
      </c>
      <c r="M16" s="220">
        <v>76.17</v>
      </c>
      <c r="N16" s="221">
        <v>63.9</v>
      </c>
      <c r="O16" s="104">
        <f t="shared" ref="O16:O21" si="1">AVERAGE(J16:N16)</f>
        <v>65.638000000000005</v>
      </c>
      <c r="P16" s="104" t="s">
        <v>244</v>
      </c>
      <c r="Q16" s="150">
        <v>64.67</v>
      </c>
      <c r="R16" s="149">
        <v>63.95</v>
      </c>
      <c r="S16" s="222">
        <v>64.5</v>
      </c>
      <c r="T16" s="223">
        <v>63.97</v>
      </c>
      <c r="U16" s="224">
        <v>63.65</v>
      </c>
      <c r="V16" s="225">
        <v>64.150000000000006</v>
      </c>
      <c r="W16" s="226">
        <v>7.9740000000000002</v>
      </c>
      <c r="X16" s="105"/>
      <c r="Y16" s="113">
        <v>40.36</v>
      </c>
      <c r="Z16" s="227">
        <v>69.989999999999995</v>
      </c>
      <c r="AA16" s="228">
        <v>75.05</v>
      </c>
      <c r="AB16" s="229">
        <v>76.61</v>
      </c>
      <c r="AC16" s="230">
        <v>61.37</v>
      </c>
    </row>
    <row r="17" spans="1:29">
      <c r="A17" s="104" t="s">
        <v>245</v>
      </c>
      <c r="B17" s="231">
        <v>65.73</v>
      </c>
      <c r="C17" s="232">
        <v>65.569999999999993</v>
      </c>
      <c r="D17" s="233">
        <v>63.91</v>
      </c>
      <c r="E17" s="234">
        <v>64.180000000000007</v>
      </c>
      <c r="F17" s="204">
        <v>63.92</v>
      </c>
      <c r="G17" s="235">
        <v>64.66</v>
      </c>
      <c r="H17" s="129">
        <v>7.8710000000000004</v>
      </c>
      <c r="I17" s="105"/>
      <c r="J17" s="113">
        <v>41.04</v>
      </c>
      <c r="K17" s="236">
        <v>74.489999999999995</v>
      </c>
      <c r="L17" s="237">
        <v>71.010000000000005</v>
      </c>
      <c r="M17" s="238">
        <v>76.39</v>
      </c>
      <c r="N17" s="239">
        <v>65.7</v>
      </c>
      <c r="O17" s="104">
        <f t="shared" si="1"/>
        <v>65.725999999999999</v>
      </c>
      <c r="P17" s="104" t="s">
        <v>245</v>
      </c>
      <c r="Q17" s="240">
        <v>64.67</v>
      </c>
      <c r="R17" s="241">
        <v>64.39</v>
      </c>
      <c r="S17" s="242">
        <v>63.88</v>
      </c>
      <c r="T17" s="243">
        <v>64</v>
      </c>
      <c r="U17" s="188">
        <v>64.06</v>
      </c>
      <c r="V17" s="244">
        <v>64.2</v>
      </c>
      <c r="W17" s="245">
        <v>7.968</v>
      </c>
      <c r="X17" s="105"/>
      <c r="Y17" s="113">
        <v>40.869999999999997</v>
      </c>
      <c r="Z17" s="237">
        <v>71</v>
      </c>
      <c r="AA17" s="246">
        <v>73.3</v>
      </c>
      <c r="AB17" s="247">
        <v>76.44</v>
      </c>
      <c r="AC17" s="248">
        <v>61.73</v>
      </c>
    </row>
    <row r="18" spans="1:29">
      <c r="A18" s="104" t="s">
        <v>246</v>
      </c>
      <c r="B18" s="249">
        <v>65.44</v>
      </c>
      <c r="C18" s="250">
        <v>64.38</v>
      </c>
      <c r="D18" s="251">
        <v>64.58</v>
      </c>
      <c r="E18" s="252">
        <v>63.98</v>
      </c>
      <c r="F18" s="253">
        <v>64.8</v>
      </c>
      <c r="G18" s="254">
        <v>64.63</v>
      </c>
      <c r="H18" s="255">
        <v>7.8710000000000004</v>
      </c>
      <c r="I18" s="105"/>
      <c r="J18" s="113">
        <v>40.53</v>
      </c>
      <c r="K18" s="256">
        <v>74.959999999999994</v>
      </c>
      <c r="L18" s="257">
        <v>72.45</v>
      </c>
      <c r="M18" s="247">
        <v>76.44</v>
      </c>
      <c r="N18" s="258">
        <v>62.82</v>
      </c>
      <c r="O18" s="104">
        <f t="shared" si="1"/>
        <v>65.44</v>
      </c>
      <c r="P18" s="104" t="s">
        <v>246</v>
      </c>
      <c r="Q18" s="259">
        <v>64.27</v>
      </c>
      <c r="R18" s="260">
        <v>63.86</v>
      </c>
      <c r="S18" s="261">
        <v>63.5</v>
      </c>
      <c r="T18" s="262">
        <v>63.98</v>
      </c>
      <c r="U18" s="263">
        <v>63.51</v>
      </c>
      <c r="V18" s="235">
        <v>63.82</v>
      </c>
      <c r="W18" s="264">
        <v>7.968</v>
      </c>
      <c r="X18" s="105"/>
      <c r="Y18" s="113">
        <v>39.85</v>
      </c>
      <c r="Z18" s="265">
        <v>70.37</v>
      </c>
      <c r="AA18" s="174">
        <v>73.489999999999995</v>
      </c>
      <c r="AB18" s="266">
        <v>76.66</v>
      </c>
      <c r="AC18" s="267">
        <v>61.01</v>
      </c>
    </row>
    <row r="19" spans="1:29">
      <c r="A19" s="104" t="s">
        <v>247</v>
      </c>
      <c r="B19" s="107">
        <v>64.62</v>
      </c>
      <c r="C19" s="249">
        <v>65.430000000000007</v>
      </c>
      <c r="D19" s="182">
        <v>63.66</v>
      </c>
      <c r="E19" s="268">
        <v>65.510000000000005</v>
      </c>
      <c r="F19" s="133">
        <v>64.66</v>
      </c>
      <c r="G19" s="190">
        <v>64.78</v>
      </c>
      <c r="H19" s="269">
        <v>7.8789999999999996</v>
      </c>
      <c r="I19" s="105"/>
      <c r="J19" s="113">
        <v>41.13</v>
      </c>
      <c r="K19" s="270">
        <v>74.2</v>
      </c>
      <c r="L19" s="136">
        <v>71.680000000000007</v>
      </c>
      <c r="M19" s="271">
        <v>76.28</v>
      </c>
      <c r="N19" s="272">
        <v>64.260000000000005</v>
      </c>
      <c r="O19" s="104">
        <f t="shared" si="1"/>
        <v>65.510000000000005</v>
      </c>
      <c r="P19" s="104" t="s">
        <v>247</v>
      </c>
      <c r="Q19" s="273">
        <v>64.42</v>
      </c>
      <c r="R19" s="168">
        <v>63.71</v>
      </c>
      <c r="S19" s="274">
        <v>63.93</v>
      </c>
      <c r="T19" s="275">
        <v>63.44</v>
      </c>
      <c r="U19" s="276">
        <v>63.63</v>
      </c>
      <c r="V19" s="277">
        <v>63.83</v>
      </c>
      <c r="W19" s="278">
        <v>7.9729999999999999</v>
      </c>
      <c r="X19" s="105"/>
      <c r="Y19" s="113">
        <v>39.68</v>
      </c>
      <c r="Z19" s="279">
        <v>70.58</v>
      </c>
      <c r="AA19" s="280">
        <v>74.16</v>
      </c>
      <c r="AB19" s="281">
        <v>75.95</v>
      </c>
      <c r="AC19" s="248">
        <v>61.73</v>
      </c>
    </row>
    <row r="20" spans="1:29">
      <c r="A20" s="104" t="s">
        <v>248</v>
      </c>
      <c r="B20" s="282">
        <v>64.78</v>
      </c>
      <c r="C20" s="283">
        <v>64.239999999999995</v>
      </c>
      <c r="D20" s="284">
        <v>64.099999999999994</v>
      </c>
      <c r="E20" s="121">
        <v>64.87</v>
      </c>
      <c r="F20" s="285">
        <v>64.05</v>
      </c>
      <c r="G20" s="286">
        <v>64.41</v>
      </c>
      <c r="H20" s="189">
        <v>7.8769999999999998</v>
      </c>
      <c r="I20" s="105"/>
      <c r="J20" s="113">
        <v>40.44</v>
      </c>
      <c r="K20" s="287">
        <v>74.239999999999995</v>
      </c>
      <c r="L20" s="288">
        <v>74.040000000000006</v>
      </c>
      <c r="M20" s="247">
        <v>76.44</v>
      </c>
      <c r="N20" s="289">
        <v>59.21</v>
      </c>
      <c r="O20" s="104">
        <f t="shared" si="1"/>
        <v>64.873999999999995</v>
      </c>
      <c r="P20" s="104" t="s">
        <v>248</v>
      </c>
      <c r="Q20" s="290">
        <v>64.36</v>
      </c>
      <c r="R20" s="291">
        <v>64.010000000000005</v>
      </c>
      <c r="S20" s="292">
        <v>63.81</v>
      </c>
      <c r="T20" s="182">
        <v>63.13</v>
      </c>
      <c r="U20" s="293">
        <v>63.29</v>
      </c>
      <c r="V20" s="294">
        <v>63.72</v>
      </c>
      <c r="W20" s="295">
        <v>7.9669999999999996</v>
      </c>
      <c r="X20" s="105"/>
      <c r="Y20" s="113">
        <v>40.36</v>
      </c>
      <c r="Z20" s="296">
        <v>70.41</v>
      </c>
      <c r="AA20" s="174">
        <v>73.489999999999995</v>
      </c>
      <c r="AB20" s="297">
        <v>75.790000000000006</v>
      </c>
      <c r="AC20" s="248">
        <v>61.73</v>
      </c>
    </row>
    <row r="21" spans="1:29">
      <c r="A21" s="104" t="s">
        <v>249</v>
      </c>
      <c r="B21" s="129">
        <v>65.040000000000006</v>
      </c>
      <c r="C21" s="298">
        <v>64.12</v>
      </c>
      <c r="D21" s="150">
        <v>65.89</v>
      </c>
      <c r="E21" s="299">
        <v>64.44</v>
      </c>
      <c r="F21" s="300">
        <v>65.11</v>
      </c>
      <c r="G21" s="301">
        <v>64.92</v>
      </c>
      <c r="H21" s="187">
        <v>7.8710000000000004</v>
      </c>
      <c r="I21" s="105"/>
      <c r="J21" s="113">
        <v>40.78</v>
      </c>
      <c r="K21" s="302">
        <v>74.45</v>
      </c>
      <c r="L21" s="303">
        <v>73.03</v>
      </c>
      <c r="M21" s="304">
        <v>76.22</v>
      </c>
      <c r="N21" s="305">
        <v>64.98</v>
      </c>
      <c r="O21" s="104">
        <f t="shared" si="1"/>
        <v>65.89200000000001</v>
      </c>
      <c r="P21" s="104" t="s">
        <v>249</v>
      </c>
      <c r="Q21" s="306">
        <v>64.22</v>
      </c>
      <c r="R21" s="307">
        <v>63.67</v>
      </c>
      <c r="S21" s="308">
        <v>63.63</v>
      </c>
      <c r="T21" s="224">
        <v>63.65</v>
      </c>
      <c r="U21" s="309">
        <v>64.08</v>
      </c>
      <c r="V21" s="310">
        <v>63.85</v>
      </c>
      <c r="W21" s="311">
        <v>7.97</v>
      </c>
      <c r="X21" s="105"/>
      <c r="Y21" s="113">
        <v>40.020000000000003</v>
      </c>
      <c r="Z21" s="312">
        <v>70.12</v>
      </c>
      <c r="AA21" s="313">
        <v>73.36</v>
      </c>
      <c r="AB21" s="304">
        <v>76.22</v>
      </c>
      <c r="AC21" s="230">
        <v>61.37</v>
      </c>
    </row>
    <row r="22" spans="1:29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spans="1:29">
      <c r="A23" s="317" t="s">
        <v>252</v>
      </c>
      <c r="B23" s="315"/>
      <c r="C23" s="315"/>
      <c r="D23" s="315"/>
      <c r="E23" s="315"/>
      <c r="F23" s="315"/>
      <c r="G23" s="315"/>
      <c r="H23" s="315"/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10"/>
      <c r="AC23" s="10"/>
    </row>
  </sheetData>
  <mergeCells count="5">
    <mergeCell ref="A2:M2"/>
    <mergeCell ref="P2:AB2"/>
    <mergeCell ref="A13:M13"/>
    <mergeCell ref="P13:AB13"/>
    <mergeCell ref="A23:AA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4 bit</vt:lpstr>
      <vt:lpstr>3bit</vt:lpstr>
      <vt:lpstr>Sheet13</vt:lpstr>
      <vt:lpstr>abs</vt:lpstr>
      <vt:lpstr>sensitive</vt:lpstr>
      <vt:lpstr>gptq_bc_4b</vt:lpstr>
      <vt:lpstr>RTN</vt:lpstr>
      <vt:lpstr>RTN 3bit</vt:lpstr>
      <vt:lpstr>tune_rtn</vt:lpstr>
      <vt:lpstr>tune_llama3</vt:lpstr>
      <vt:lpstr>GPTQ</vt:lpstr>
      <vt:lpstr>Copy of RTN</vt:lpstr>
      <vt:lpstr>AdaRound</vt:lpstr>
      <vt:lpstr>ada_3bit</vt:lpstr>
      <vt:lpstr>Tune</vt:lpstr>
      <vt:lpstr>RTN vs RTN+Flip 4 bit (per chan</vt:lpstr>
      <vt:lpstr>Sheet11</vt:lpstr>
      <vt:lpstr>RTN vs RTN+Flip 3 bit (per chan</vt:lpstr>
      <vt:lpstr>Copy of Tune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Luu Thien Viet Cuong 20225477</cp:lastModifiedBy>
  <dcterms:modified xsi:type="dcterms:W3CDTF">2026-06-10T09:36:24Z</dcterms:modified>
</cp:coreProperties>
</file>